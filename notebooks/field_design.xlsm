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ing\EcoThrift\notebooks\"/>
    </mc:Choice>
  </mc:AlternateContent>
  <xr:revisionPtr revIDLastSave="0" documentId="13_ncr:1_{C331B601-8ED3-44FF-8BFF-1E40E96295F3}" xr6:coauthVersionLast="47" xr6:coauthVersionMax="47" xr10:uidLastSave="{00000000-0000-0000-0000-000000000000}"/>
  <bookViews>
    <workbookView xWindow="-11700" yWindow="7290" windowWidth="28785" windowHeight="16515" tabRatio="884" xr2:uid="{4410A4A3-A48B-45CC-9F40-FE67B8D64C24}"/>
  </bookViews>
  <sheets>
    <sheet name="sidebar" sheetId="21" r:id="rId1"/>
    <sheet name="model" sheetId="16" r:id="rId2"/>
    <sheet name="model_field" sheetId="14" r:id="rId3"/>
    <sheet name="page" sheetId="12" r:id="rId4"/>
    <sheet name="page_element" sheetId="13" r:id="rId5"/>
    <sheet name="meta_form" sheetId="22" r:id="rId6"/>
    <sheet name="form" sheetId="17" r:id="rId7"/>
    <sheet name="form_field" sheetId="4" r:id="rId8"/>
    <sheet name="table" sheetId="5" r:id="rId9"/>
    <sheet name="table_field" sheetId="19" r:id="rId10"/>
    <sheet name="_slugs" sheetId="23" r:id="rId11"/>
    <sheet name="_globals" sheetId="24" r:id="rId12"/>
    <sheet name="_model_fields" sheetId="3" r:id="rId13"/>
    <sheet name="_form_fields" sheetId="18" r:id="rId14"/>
    <sheet name="_item_fields" sheetId="31" r:id="rId15"/>
    <sheet name="_naming_conventions" sheetId="25" r:id="rId16"/>
    <sheet name="_context_vars" sheetId="30" r:id="rId17"/>
    <sheet name="_Roadmap_" sheetId="26" r:id="rId18"/>
    <sheet name="_pages" sheetId="28" r:id="rId19"/>
    <sheet name="_task_today" sheetId="29" r:id="rId20"/>
  </sheets>
  <functionGroups builtInGroupCount="19"/>
  <definedNames>
    <definedName name="_xlnm._FilterDatabase" localSheetId="12" hidden="1">_model_fields!$A$1:$AL$203</definedName>
    <definedName name="_xlnm._FilterDatabase" localSheetId="6" hidden="1">form!#REF!</definedName>
    <definedName name="_xlnm._FilterDatabase" localSheetId="7" hidden="1">form_field!$B$1:$L$82</definedName>
    <definedName name="_xlnm._FilterDatabase" localSheetId="8" hidden="1">table!#REF!</definedName>
    <definedName name="_xlnm.Extract" localSheetId="12">_model_fields!#REF!</definedName>
    <definedName name="_xlnm.Extract" localSheetId="6">form!#REF!</definedName>
    <definedName name="_xlnm.Extract" localSheetId="8">table!$B$1</definedName>
    <definedName name="form_template">_form_fields!$A:$D</definedName>
    <definedName name="SLUG">_slugs!$A$1:$E$33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9" i="31" l="1"/>
  <c r="B18" i="31"/>
  <c r="C17" i="31"/>
  <c r="B17" i="31"/>
  <c r="C16" i="31"/>
  <c r="C15" i="31"/>
  <c r="B15" i="31"/>
  <c r="C14" i="31"/>
  <c r="B14" i="31"/>
  <c r="B13" i="31"/>
  <c r="B12" i="31"/>
  <c r="B11" i="31"/>
  <c r="B10" i="31"/>
  <c r="C7" i="31"/>
  <c r="C6" i="31"/>
  <c r="C5" i="31"/>
  <c r="C4" i="31"/>
  <c r="C3" i="31"/>
  <c r="C2" i="31"/>
  <c r="A5" i="22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4" i="22"/>
  <c r="D3" i="26"/>
  <c r="D4" i="26"/>
  <c r="D5" i="26"/>
  <c r="D6" i="26"/>
  <c r="D7" i="26"/>
  <c r="D8" i="26"/>
  <c r="D9" i="26"/>
  <c r="D10" i="26"/>
  <c r="D11" i="26"/>
  <c r="D12" i="26"/>
  <c r="D13" i="26"/>
  <c r="D14" i="26"/>
  <c r="D15" i="26"/>
  <c r="D16" i="26"/>
  <c r="D17" i="26"/>
  <c r="D18" i="26"/>
  <c r="D19" i="26"/>
  <c r="D20" i="26"/>
  <c r="D21" i="26"/>
  <c r="D22" i="26"/>
  <c r="D23" i="26"/>
  <c r="D2" i="26"/>
  <c r="E3" i="26"/>
  <c r="E4" i="26"/>
  <c r="E5" i="26"/>
  <c r="E6" i="26"/>
  <c r="E7" i="26"/>
  <c r="E8" i="26"/>
  <c r="E9" i="26"/>
  <c r="E10" i="26"/>
  <c r="E11" i="26"/>
  <c r="E12" i="26"/>
  <c r="E13" i="26"/>
  <c r="E14" i="26"/>
  <c r="E15" i="26"/>
  <c r="E16" i="26"/>
  <c r="E17" i="26"/>
  <c r="E18" i="26"/>
  <c r="E19" i="26"/>
  <c r="E20" i="26"/>
  <c r="E21" i="26"/>
  <c r="E22" i="26"/>
  <c r="E23" i="26"/>
  <c r="E2" i="26"/>
  <c r="L52" i="4"/>
  <c r="K52" i="4"/>
  <c r="J52" i="4"/>
  <c r="I52" i="4"/>
  <c r="L51" i="4"/>
  <c r="K51" i="4"/>
  <c r="J51" i="4"/>
  <c r="I51" i="4"/>
  <c r="I2" i="4"/>
  <c r="J2" i="4"/>
  <c r="K2" i="4"/>
  <c r="L2" i="4"/>
  <c r="I3" i="4"/>
  <c r="F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" i="23"/>
  <c r="K62" i="4"/>
  <c r="D4" i="3" a="1"/>
  <c r="D4" i="3" s="1"/>
  <c r="R4" i="3"/>
  <c r="S4" i="3"/>
  <c r="D5" i="3" a="1"/>
  <c r="H5" i="3" s="1"/>
  <c r="D5" i="3"/>
  <c r="E5" i="3"/>
  <c r="F5" i="3"/>
  <c r="G5" i="3"/>
  <c r="L5" i="3"/>
  <c r="M5" i="3"/>
  <c r="N5" i="3"/>
  <c r="O5" i="3"/>
  <c r="Q5" i="3"/>
  <c r="R5" i="3"/>
  <c r="S5" i="3"/>
  <c r="D6" i="3" a="1"/>
  <c r="Q6" i="3" s="1"/>
  <c r="P6" i="3"/>
  <c r="S6" i="3"/>
  <c r="D7" i="3" a="1"/>
  <c r="Q7" i="3" s="1"/>
  <c r="O7" i="3"/>
  <c r="P7" i="3"/>
  <c r="R7" i="3"/>
  <c r="S7" i="3"/>
  <c r="D8" i="3" a="1"/>
  <c r="P8" i="3" s="1"/>
  <c r="N8" i="3"/>
  <c r="O8" i="3"/>
  <c r="Q8" i="3"/>
  <c r="R8" i="3"/>
  <c r="S8" i="3"/>
  <c r="D9" i="3" a="1"/>
  <c r="O9" i="3" s="1"/>
  <c r="M9" i="3"/>
  <c r="N9" i="3"/>
  <c r="P9" i="3"/>
  <c r="Q9" i="3"/>
  <c r="R9" i="3"/>
  <c r="S9" i="3"/>
  <c r="D10" i="3" a="1"/>
  <c r="D10" i="3" s="1"/>
  <c r="D9" i="14" s="1"/>
  <c r="G10" i="3"/>
  <c r="H10" i="3"/>
  <c r="I10" i="3"/>
  <c r="J10" i="3"/>
  <c r="L10" i="3"/>
  <c r="M10" i="3"/>
  <c r="N10" i="3"/>
  <c r="O10" i="3"/>
  <c r="P10" i="3"/>
  <c r="Q10" i="3"/>
  <c r="R10" i="3"/>
  <c r="S10" i="3"/>
  <c r="D11" i="3" a="1"/>
  <c r="D11" i="3" s="1"/>
  <c r="F11" i="3"/>
  <c r="G11" i="3"/>
  <c r="H11" i="3"/>
  <c r="I11" i="3"/>
  <c r="K11" i="3"/>
  <c r="L11" i="3"/>
  <c r="M11" i="3"/>
  <c r="N11" i="3"/>
  <c r="O11" i="3"/>
  <c r="P11" i="3"/>
  <c r="Q11" i="3"/>
  <c r="R11" i="3"/>
  <c r="S11" i="3"/>
  <c r="D12" i="3" a="1"/>
  <c r="R12" i="3" s="1"/>
  <c r="E12" i="3"/>
  <c r="F12" i="3"/>
  <c r="G12" i="3"/>
  <c r="H12" i="3"/>
  <c r="J12" i="3"/>
  <c r="K12" i="3"/>
  <c r="L12" i="3"/>
  <c r="M12" i="3"/>
  <c r="N12" i="3"/>
  <c r="O12" i="3"/>
  <c r="P12" i="3"/>
  <c r="Q12" i="3"/>
  <c r="S12" i="3"/>
  <c r="D13" i="3" a="1"/>
  <c r="H13" i="3" s="1"/>
  <c r="D13" i="3"/>
  <c r="E13" i="3"/>
  <c r="F13" i="3"/>
  <c r="G13" i="3"/>
  <c r="I13" i="3"/>
  <c r="J13" i="3"/>
  <c r="K13" i="3"/>
  <c r="L13" i="3"/>
  <c r="M13" i="3"/>
  <c r="N13" i="3"/>
  <c r="O13" i="3"/>
  <c r="P13" i="3"/>
  <c r="Q13" i="3"/>
  <c r="R13" i="3"/>
  <c r="S13" i="3"/>
  <c r="D14" i="3" a="1"/>
  <c r="J14" i="3" s="1"/>
  <c r="D14" i="3"/>
  <c r="E14" i="3"/>
  <c r="H14" i="3"/>
  <c r="I14" i="3"/>
  <c r="K14" i="3"/>
  <c r="L14" i="3"/>
  <c r="F13" i="14" s="1"/>
  <c r="M14" i="3"/>
  <c r="N14" i="3"/>
  <c r="S14" i="3"/>
  <c r="D15" i="3" a="1"/>
  <c r="I15" i="3" s="1"/>
  <c r="G15" i="3"/>
  <c r="H15" i="3"/>
  <c r="J15" i="3"/>
  <c r="K15" i="3"/>
  <c r="L15" i="3"/>
  <c r="S15" i="3"/>
  <c r="D16" i="3" a="1"/>
  <c r="H16" i="3" s="1"/>
  <c r="F16" i="3"/>
  <c r="G16" i="3"/>
  <c r="I16" i="3"/>
  <c r="J16" i="3"/>
  <c r="K16" i="3"/>
  <c r="R16" i="3"/>
  <c r="S16" i="3"/>
  <c r="D17" i="3" a="1"/>
  <c r="G17" i="3" s="1"/>
  <c r="E17" i="3"/>
  <c r="F17" i="3"/>
  <c r="H17" i="3"/>
  <c r="I17" i="3"/>
  <c r="J17" i="3"/>
  <c r="K17" i="3"/>
  <c r="P17" i="3"/>
  <c r="Q17" i="3"/>
  <c r="R17" i="3"/>
  <c r="S17" i="3"/>
  <c r="D18" i="3" a="1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D19" i="3" a="1"/>
  <c r="D19" i="3" s="1"/>
  <c r="D20" i="3" a="1"/>
  <c r="F20" i="3" s="1"/>
  <c r="E20" i="3"/>
  <c r="G20" i="3"/>
  <c r="H20" i="3"/>
  <c r="N20" i="3"/>
  <c r="O20" i="3"/>
  <c r="R20" i="3"/>
  <c r="D21" i="3" a="1"/>
  <c r="H21" i="3" s="1"/>
  <c r="D21" i="3"/>
  <c r="E21" i="3"/>
  <c r="F21" i="3"/>
  <c r="G21" i="3"/>
  <c r="L21" i="3"/>
  <c r="M21" i="3"/>
  <c r="N21" i="3"/>
  <c r="O21" i="3"/>
  <c r="Q21" i="3"/>
  <c r="R21" i="3"/>
  <c r="S21" i="3"/>
  <c r="D22" i="3" a="1"/>
  <c r="D22" i="3" s="1"/>
  <c r="D23" i="3" a="1"/>
  <c r="E23" i="3" s="1"/>
  <c r="D23" i="3"/>
  <c r="J23" i="3"/>
  <c r="K23" i="3"/>
  <c r="E22" i="14" s="1"/>
  <c r="O23" i="3"/>
  <c r="P23" i="3"/>
  <c r="R23" i="3"/>
  <c r="D24" i="3" a="1"/>
  <c r="D24" i="3" s="1"/>
  <c r="D23" i="14" s="1"/>
  <c r="S24" i="3"/>
  <c r="D25" i="3" a="1"/>
  <c r="H25" i="3" s="1"/>
  <c r="I25" i="3"/>
  <c r="P25" i="3"/>
  <c r="D26" i="3" a="1"/>
  <c r="D26" i="3" s="1"/>
  <c r="G26" i="3"/>
  <c r="H26" i="3"/>
  <c r="I26" i="3"/>
  <c r="J26" i="3"/>
  <c r="L26" i="3"/>
  <c r="M26" i="3"/>
  <c r="N26" i="3"/>
  <c r="O26" i="3"/>
  <c r="P26" i="3"/>
  <c r="Q26" i="3"/>
  <c r="R26" i="3"/>
  <c r="S26" i="3"/>
  <c r="D27" i="3" a="1"/>
  <c r="E27" i="3" s="1"/>
  <c r="D27" i="3"/>
  <c r="F27" i="3"/>
  <c r="G27" i="3"/>
  <c r="H27" i="3"/>
  <c r="I27" i="3"/>
  <c r="K27" i="3"/>
  <c r="L27" i="3"/>
  <c r="M27" i="3"/>
  <c r="N27" i="3"/>
  <c r="O27" i="3"/>
  <c r="P27" i="3"/>
  <c r="Q27" i="3"/>
  <c r="R27" i="3"/>
  <c r="S27" i="3"/>
  <c r="D28" i="3" a="1"/>
  <c r="R28" i="3" s="1"/>
  <c r="E28" i="3"/>
  <c r="F28" i="3"/>
  <c r="G28" i="3"/>
  <c r="H28" i="3"/>
  <c r="J28" i="3"/>
  <c r="K28" i="3"/>
  <c r="L28" i="3"/>
  <c r="M28" i="3"/>
  <c r="N28" i="3"/>
  <c r="O28" i="3"/>
  <c r="P28" i="3"/>
  <c r="Q28" i="3"/>
  <c r="S28" i="3"/>
  <c r="D29" i="3" a="1"/>
  <c r="H29" i="3" s="1"/>
  <c r="D29" i="3"/>
  <c r="E29" i="3"/>
  <c r="F29" i="3"/>
  <c r="G29" i="3"/>
  <c r="I29" i="3"/>
  <c r="J29" i="3"/>
  <c r="K29" i="3"/>
  <c r="L29" i="3"/>
  <c r="M29" i="3"/>
  <c r="N29" i="3"/>
  <c r="O29" i="3"/>
  <c r="P29" i="3"/>
  <c r="Q29" i="3"/>
  <c r="R29" i="3"/>
  <c r="S29" i="3"/>
  <c r="D30" i="3" a="1"/>
  <c r="D30" i="3" s="1"/>
  <c r="E30" i="3"/>
  <c r="M30" i="3"/>
  <c r="S30" i="3"/>
  <c r="D31" i="3" a="1"/>
  <c r="D31" i="3" s="1"/>
  <c r="E31" i="3"/>
  <c r="J31" i="3"/>
  <c r="D32" i="3" a="1"/>
  <c r="F32" i="3" s="1"/>
  <c r="D32" i="3"/>
  <c r="G32" i="3"/>
  <c r="H32" i="3"/>
  <c r="J32" i="3"/>
  <c r="K32" i="3"/>
  <c r="L32" i="3"/>
  <c r="R32" i="3"/>
  <c r="D33" i="3" a="1"/>
  <c r="E33" i="3" s="1"/>
  <c r="F33" i="3"/>
  <c r="H33" i="3"/>
  <c r="I33" i="3"/>
  <c r="K33" i="3"/>
  <c r="P33" i="3"/>
  <c r="R33" i="3"/>
  <c r="S33" i="3"/>
  <c r="D34" i="3" a="1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D35" i="3" a="1"/>
  <c r="E35" i="3" s="1"/>
  <c r="D35" i="3"/>
  <c r="F35" i="3"/>
  <c r="H35" i="3"/>
  <c r="J35" i="3"/>
  <c r="N35" i="3"/>
  <c r="P35" i="3"/>
  <c r="Q35" i="3"/>
  <c r="D36" i="3" a="1"/>
  <c r="D36" i="3" s="1"/>
  <c r="G36" i="3"/>
  <c r="R36" i="3"/>
  <c r="D37" i="3" a="1"/>
  <c r="D38" i="3" a="1"/>
  <c r="E38" i="3" s="1"/>
  <c r="D38" i="3"/>
  <c r="F38" i="3"/>
  <c r="G38" i="3"/>
  <c r="L38" i="3"/>
  <c r="M38" i="3"/>
  <c r="Q38" i="3"/>
  <c r="D39" i="3" a="1"/>
  <c r="K39" i="3" s="1"/>
  <c r="D39" i="3"/>
  <c r="E39" i="3"/>
  <c r="F39" i="3"/>
  <c r="J39" i="3"/>
  <c r="L39" i="3"/>
  <c r="M39" i="3"/>
  <c r="P39" i="3"/>
  <c r="Q39" i="3"/>
  <c r="R39" i="3"/>
  <c r="S39" i="3"/>
  <c r="D40" i="3" a="1"/>
  <c r="D40" i="3" s="1"/>
  <c r="N40" i="3"/>
  <c r="P40" i="3"/>
  <c r="D41" i="3" a="1"/>
  <c r="D41" i="3" s="1"/>
  <c r="D40" i="14" s="1"/>
  <c r="I41" i="3"/>
  <c r="Q41" i="3"/>
  <c r="S41" i="3"/>
  <c r="D42" i="3" a="1"/>
  <c r="G42" i="3" s="1"/>
  <c r="M42" i="3"/>
  <c r="D43" i="3" a="1"/>
  <c r="E43" i="3" s="1"/>
  <c r="D43" i="3"/>
  <c r="F43" i="3"/>
  <c r="G43" i="3"/>
  <c r="H43" i="3"/>
  <c r="I43" i="3"/>
  <c r="K43" i="3"/>
  <c r="L43" i="3"/>
  <c r="M43" i="3"/>
  <c r="N43" i="3"/>
  <c r="O43" i="3"/>
  <c r="P43" i="3"/>
  <c r="Q43" i="3"/>
  <c r="R43" i="3"/>
  <c r="S43" i="3"/>
  <c r="D44" i="3" a="1"/>
  <c r="F44" i="3" s="1"/>
  <c r="E44" i="3"/>
  <c r="G44" i="3"/>
  <c r="H44" i="3"/>
  <c r="K44" i="3"/>
  <c r="L44" i="3"/>
  <c r="M44" i="3"/>
  <c r="O44" i="3"/>
  <c r="D45" i="3" a="1"/>
  <c r="H45" i="3" s="1"/>
  <c r="D45" i="3"/>
  <c r="D44" i="14" s="1"/>
  <c r="E45" i="3"/>
  <c r="F45" i="3"/>
  <c r="G45" i="3"/>
  <c r="I45" i="3"/>
  <c r="J45" i="3"/>
  <c r="K45" i="3"/>
  <c r="L45" i="3"/>
  <c r="M45" i="3"/>
  <c r="N45" i="3"/>
  <c r="O45" i="3"/>
  <c r="P45" i="3"/>
  <c r="Q45" i="3"/>
  <c r="R45" i="3"/>
  <c r="S45" i="3"/>
  <c r="D46" i="3" a="1"/>
  <c r="D46" i="3" s="1"/>
  <c r="E46" i="3"/>
  <c r="F46" i="3"/>
  <c r="I46" i="3"/>
  <c r="J46" i="3"/>
  <c r="L46" i="3"/>
  <c r="M46" i="3"/>
  <c r="N46" i="3"/>
  <c r="P46" i="3"/>
  <c r="D47" i="3" a="1"/>
  <c r="I47" i="3" s="1"/>
  <c r="D47" i="3"/>
  <c r="E47" i="3"/>
  <c r="G47" i="3"/>
  <c r="H47" i="3"/>
  <c r="J47" i="3"/>
  <c r="K47" i="3"/>
  <c r="M47" i="3"/>
  <c r="N47" i="3"/>
  <c r="O47" i="3"/>
  <c r="P47" i="3"/>
  <c r="R47" i="3"/>
  <c r="D48" i="3" a="1"/>
  <c r="D48" i="3" s="1"/>
  <c r="F48" i="3"/>
  <c r="H48" i="3"/>
  <c r="I48" i="3"/>
  <c r="K48" i="3"/>
  <c r="E47" i="14" s="1"/>
  <c r="L48" i="3"/>
  <c r="N48" i="3"/>
  <c r="O48" i="3"/>
  <c r="Q48" i="3"/>
  <c r="R48" i="3"/>
  <c r="S48" i="3"/>
  <c r="D49" i="3" a="1"/>
  <c r="F49" i="3" s="1"/>
  <c r="E49" i="3"/>
  <c r="G49" i="3"/>
  <c r="H49" i="3"/>
  <c r="I49" i="3"/>
  <c r="J49" i="3"/>
  <c r="L49" i="3"/>
  <c r="M49" i="3"/>
  <c r="P49" i="3"/>
  <c r="Q49" i="3"/>
  <c r="R49" i="3"/>
  <c r="S49" i="3"/>
  <c r="D50" i="3" a="1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D51" i="3" a="1"/>
  <c r="E51" i="3" s="1"/>
  <c r="D51" i="3"/>
  <c r="F51" i="3"/>
  <c r="G51" i="3"/>
  <c r="H51" i="3"/>
  <c r="I51" i="3"/>
  <c r="K51" i="3"/>
  <c r="E50" i="14" s="1"/>
  <c r="L51" i="3"/>
  <c r="O51" i="3"/>
  <c r="P51" i="3"/>
  <c r="Q51" i="3"/>
  <c r="S51" i="3"/>
  <c r="D52" i="3" a="1"/>
  <c r="I52" i="3" s="1"/>
  <c r="M52" i="3"/>
  <c r="D53" i="3" a="1"/>
  <c r="E53" i="3" s="1"/>
  <c r="D53" i="3"/>
  <c r="D52" i="14" s="1"/>
  <c r="H53" i="3"/>
  <c r="J53" i="3"/>
  <c r="L53" i="3"/>
  <c r="N53" i="3"/>
  <c r="O53" i="3"/>
  <c r="R53" i="3"/>
  <c r="S53" i="3"/>
  <c r="D54" i="3" a="1"/>
  <c r="E54" i="3" s="1"/>
  <c r="L54" i="3"/>
  <c r="S54" i="3"/>
  <c r="D55" i="3" a="1"/>
  <c r="M55" i="3" s="1"/>
  <c r="D55" i="3"/>
  <c r="F55" i="3"/>
  <c r="O55" i="3"/>
  <c r="D56" i="3" a="1"/>
  <c r="G56" i="3" s="1"/>
  <c r="D56" i="3"/>
  <c r="D55" i="14" s="1"/>
  <c r="E56" i="3"/>
  <c r="O56" i="3"/>
  <c r="P56" i="3"/>
  <c r="D57" i="3" a="1"/>
  <c r="D57" i="3"/>
  <c r="D56" i="14" s="1"/>
  <c r="E57" i="3"/>
  <c r="F57" i="3"/>
  <c r="H57" i="3"/>
  <c r="I57" i="3"/>
  <c r="J57" i="3"/>
  <c r="K57" i="3"/>
  <c r="M57" i="3"/>
  <c r="N57" i="3"/>
  <c r="O57" i="3"/>
  <c r="P57" i="3"/>
  <c r="Q57" i="3"/>
  <c r="R57" i="3"/>
  <c r="S57" i="3"/>
  <c r="D58" i="3" a="1"/>
  <c r="Q58" i="3" s="1"/>
  <c r="E58" i="3"/>
  <c r="G58" i="3"/>
  <c r="H58" i="3"/>
  <c r="J58" i="3"/>
  <c r="R58" i="3"/>
  <c r="D59" i="3" a="1"/>
  <c r="L59" i="3" s="1"/>
  <c r="D59" i="3"/>
  <c r="G59" i="3"/>
  <c r="H59" i="3"/>
  <c r="I59" i="3"/>
  <c r="R59" i="3"/>
  <c r="S59" i="3"/>
  <c r="D60" i="3" a="1"/>
  <c r="E60" i="3"/>
  <c r="F60" i="3"/>
  <c r="H60" i="3"/>
  <c r="J60" i="3"/>
  <c r="K60" i="3"/>
  <c r="E59" i="14" s="1"/>
  <c r="L60" i="3"/>
  <c r="M60" i="3"/>
  <c r="N60" i="3"/>
  <c r="O60" i="3"/>
  <c r="P60" i="3"/>
  <c r="Q60" i="3"/>
  <c r="R60" i="3"/>
  <c r="S60" i="3"/>
  <c r="D61" i="3" a="1"/>
  <c r="H61" i="3" s="1"/>
  <c r="D61" i="3"/>
  <c r="E61" i="3"/>
  <c r="F61" i="3"/>
  <c r="G61" i="3"/>
  <c r="I61" i="3"/>
  <c r="J61" i="3"/>
  <c r="K61" i="3"/>
  <c r="L61" i="3"/>
  <c r="M61" i="3"/>
  <c r="N61" i="3"/>
  <c r="O61" i="3"/>
  <c r="P61" i="3"/>
  <c r="Q61" i="3"/>
  <c r="R61" i="3"/>
  <c r="S61" i="3"/>
  <c r="D62" i="3" a="1"/>
  <c r="D63" i="3" a="1"/>
  <c r="D63" i="3" s="1"/>
  <c r="D62" i="14" s="1"/>
  <c r="G63" i="3"/>
  <c r="D64" i="3" a="1"/>
  <c r="G64" i="3" s="1"/>
  <c r="D64" i="3"/>
  <c r="F64" i="3"/>
  <c r="H64" i="3"/>
  <c r="I64" i="3"/>
  <c r="K64" i="3"/>
  <c r="L64" i="3"/>
  <c r="M64" i="3"/>
  <c r="N64" i="3"/>
  <c r="O64" i="3"/>
  <c r="R64" i="3"/>
  <c r="D65" i="3" a="1"/>
  <c r="E65" i="3" s="1"/>
  <c r="F65" i="3"/>
  <c r="G65" i="3"/>
  <c r="I65" i="3"/>
  <c r="J65" i="3"/>
  <c r="L65" i="3"/>
  <c r="F64" i="14" s="1"/>
  <c r="M65" i="3"/>
  <c r="N65" i="3"/>
  <c r="P65" i="3"/>
  <c r="Q65" i="3"/>
  <c r="D66" i="3" a="1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D67" i="3" a="1"/>
  <c r="H67" i="3" s="1"/>
  <c r="E67" i="3"/>
  <c r="F67" i="3"/>
  <c r="I67" i="3"/>
  <c r="N67" i="3"/>
  <c r="D68" i="3" a="1"/>
  <c r="E68" i="3"/>
  <c r="F68" i="3"/>
  <c r="I68" i="3"/>
  <c r="K68" i="3"/>
  <c r="L68" i="3"/>
  <c r="M68" i="3"/>
  <c r="N68" i="3"/>
  <c r="D69" i="3" a="1"/>
  <c r="E69" i="3" s="1"/>
  <c r="M69" i="3"/>
  <c r="D70" i="3" a="1"/>
  <c r="K70" i="3" s="1"/>
  <c r="E70" i="3"/>
  <c r="F70" i="3"/>
  <c r="H70" i="3"/>
  <c r="I70" i="3"/>
  <c r="L70" i="3"/>
  <c r="N70" i="3"/>
  <c r="D71" i="3" a="1"/>
  <c r="E71" i="3" s="1"/>
  <c r="H71" i="3"/>
  <c r="P71" i="3"/>
  <c r="D72" i="3" a="1"/>
  <c r="E72" i="3" s="1"/>
  <c r="P72" i="3"/>
  <c r="D73" i="3" a="1"/>
  <c r="E73" i="3" s="1"/>
  <c r="K73" i="3"/>
  <c r="M73" i="3"/>
  <c r="O73" i="3"/>
  <c r="D74" i="3" a="1"/>
  <c r="E74" i="3" s="1"/>
  <c r="F74" i="3"/>
  <c r="H74" i="3"/>
  <c r="L74" i="3"/>
  <c r="M74" i="3"/>
  <c r="P74" i="3"/>
  <c r="D75" i="3" a="1"/>
  <c r="H75" i="3" s="1"/>
  <c r="E75" i="3"/>
  <c r="F75" i="3"/>
  <c r="I75" i="3"/>
  <c r="O75" i="3"/>
  <c r="D76" i="3" a="1"/>
  <c r="E76" i="3"/>
  <c r="F76" i="3"/>
  <c r="J76" i="3"/>
  <c r="L76" i="3"/>
  <c r="M76" i="3"/>
  <c r="N76" i="3"/>
  <c r="O76" i="3"/>
  <c r="D77" i="3" a="1"/>
  <c r="E77" i="3" s="1"/>
  <c r="N77" i="3"/>
  <c r="D78" i="3" a="1"/>
  <c r="L78" i="3" s="1"/>
  <c r="E78" i="3"/>
  <c r="F78" i="3"/>
  <c r="I78" i="3"/>
  <c r="J78" i="3"/>
  <c r="M78" i="3"/>
  <c r="O78" i="3"/>
  <c r="D79" i="3" a="1"/>
  <c r="E79" i="3" s="1"/>
  <c r="I79" i="3"/>
  <c r="J79" i="3"/>
  <c r="O79" i="3"/>
  <c r="P79" i="3"/>
  <c r="D80" i="3" a="1"/>
  <c r="F80" i="3" s="1"/>
  <c r="P80" i="3"/>
  <c r="D81" i="3" a="1"/>
  <c r="F81" i="3" s="1"/>
  <c r="L81" i="3"/>
  <c r="M81" i="3"/>
  <c r="D82" i="3" a="1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D83" i="3" a="1"/>
  <c r="R83" i="3" s="1"/>
  <c r="D83" i="3"/>
  <c r="E83" i="3"/>
  <c r="G83" i="3"/>
  <c r="H83" i="3"/>
  <c r="J83" i="3"/>
  <c r="K83" i="3"/>
  <c r="L83" i="3"/>
  <c r="M83" i="3"/>
  <c r="N83" i="3"/>
  <c r="P83" i="3"/>
  <c r="S83" i="3"/>
  <c r="D84" i="3" a="1"/>
  <c r="D84" i="3"/>
  <c r="E84" i="3"/>
  <c r="G84" i="3"/>
  <c r="H84" i="3"/>
  <c r="J84" i="3"/>
  <c r="K84" i="3"/>
  <c r="L84" i="3"/>
  <c r="M84" i="3"/>
  <c r="N84" i="3"/>
  <c r="D85" i="3" a="1"/>
  <c r="J85" i="3" s="1"/>
  <c r="D85" i="3"/>
  <c r="D84" i="14" s="1"/>
  <c r="E85" i="3"/>
  <c r="G85" i="3"/>
  <c r="H85" i="3"/>
  <c r="K85" i="3"/>
  <c r="E84" i="14" s="1"/>
  <c r="M85" i="3"/>
  <c r="S85" i="3"/>
  <c r="D86" i="3" a="1"/>
  <c r="D86" i="3" s="1"/>
  <c r="E86" i="3"/>
  <c r="G86" i="3"/>
  <c r="L86" i="3"/>
  <c r="M86" i="3"/>
  <c r="N86" i="3"/>
  <c r="D87" i="3" a="1"/>
  <c r="D87" i="3" s="1"/>
  <c r="D86" i="14" s="1"/>
  <c r="L87" i="3"/>
  <c r="M87" i="3"/>
  <c r="D88" i="3" a="1"/>
  <c r="G88" i="3" s="1"/>
  <c r="D88" i="3"/>
  <c r="D87" i="14" s="1"/>
  <c r="E88" i="3"/>
  <c r="S88" i="3"/>
  <c r="D89" i="3" a="1"/>
  <c r="D89" i="3" s="1"/>
  <c r="K89" i="3"/>
  <c r="D90" i="3" a="1"/>
  <c r="D90" i="3" s="1"/>
  <c r="G90" i="3"/>
  <c r="H90" i="3"/>
  <c r="N90" i="3"/>
  <c r="O90" i="3"/>
  <c r="Q90" i="3"/>
  <c r="D91" i="3" a="1"/>
  <c r="D91" i="3" s="1"/>
  <c r="D90" i="14" s="1"/>
  <c r="M91" i="3"/>
  <c r="N91" i="3"/>
  <c r="D92" i="3" a="1"/>
  <c r="G92" i="3" s="1"/>
  <c r="D92" i="3"/>
  <c r="E92" i="3"/>
  <c r="S92" i="3"/>
  <c r="D93" i="3" a="1"/>
  <c r="D93" i="3" s="1"/>
  <c r="D92" i="14" s="1"/>
  <c r="L93" i="3"/>
  <c r="D94" i="3" a="1"/>
  <c r="D94" i="3" s="1"/>
  <c r="D93" i="14" s="1"/>
  <c r="G94" i="3"/>
  <c r="H94" i="3"/>
  <c r="M94" i="3"/>
  <c r="N94" i="3"/>
  <c r="P94" i="3"/>
  <c r="S94" i="3"/>
  <c r="D95" i="3" a="1"/>
  <c r="D95" i="3"/>
  <c r="D94" i="14" s="1"/>
  <c r="F95" i="3"/>
  <c r="G95" i="3"/>
  <c r="I95" i="3"/>
  <c r="J95" i="3"/>
  <c r="K95" i="3"/>
  <c r="L95" i="3"/>
  <c r="F94" i="14" s="1"/>
  <c r="O95" i="3"/>
  <c r="Q95" i="3"/>
  <c r="R95" i="3"/>
  <c r="S95" i="3"/>
  <c r="D96" i="3" a="1"/>
  <c r="E96" i="3" s="1"/>
  <c r="D97" i="3" a="1"/>
  <c r="F97" i="3" s="1"/>
  <c r="D97" i="3"/>
  <c r="E97" i="3"/>
  <c r="G97" i="3"/>
  <c r="H97" i="3"/>
  <c r="I97" i="3"/>
  <c r="J97" i="3"/>
  <c r="K97" i="3"/>
  <c r="E96" i="14" s="1"/>
  <c r="L97" i="3"/>
  <c r="M97" i="3"/>
  <c r="O97" i="3"/>
  <c r="P97" i="3"/>
  <c r="Q97" i="3"/>
  <c r="R97" i="3"/>
  <c r="S97" i="3"/>
  <c r="D98" i="3" a="1"/>
  <c r="I98" i="3" s="1"/>
  <c r="D98" i="3"/>
  <c r="F98" i="3"/>
  <c r="G98" i="3"/>
  <c r="H98" i="3"/>
  <c r="J98" i="3"/>
  <c r="N98" i="3"/>
  <c r="P98" i="3"/>
  <c r="Q98" i="3"/>
  <c r="D99" i="3" a="1"/>
  <c r="E99" i="3"/>
  <c r="M99" i="3"/>
  <c r="D100" i="3" a="1"/>
  <c r="D100" i="3"/>
  <c r="D99" i="14" s="1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D101" i="3" a="1"/>
  <c r="D101" i="3" s="1"/>
  <c r="D100" i="14" s="1"/>
  <c r="E101" i="3"/>
  <c r="F101" i="3"/>
  <c r="L101" i="3"/>
  <c r="M101" i="3"/>
  <c r="N101" i="3"/>
  <c r="Q101" i="3"/>
  <c r="D102" i="3" a="1"/>
  <c r="D102" i="3" s="1"/>
  <c r="D101" i="14" s="1"/>
  <c r="E102" i="3"/>
  <c r="F102" i="3"/>
  <c r="J102" i="3"/>
  <c r="K102" i="3"/>
  <c r="O102" i="3"/>
  <c r="P102" i="3"/>
  <c r="R102" i="3"/>
  <c r="S102" i="3"/>
  <c r="D103" i="3" a="1"/>
  <c r="D103" i="3"/>
  <c r="E103" i="3"/>
  <c r="G103" i="3"/>
  <c r="I103" i="3"/>
  <c r="J103" i="3"/>
  <c r="K103" i="3"/>
  <c r="E102" i="14" s="1"/>
  <c r="L103" i="3"/>
  <c r="F102" i="14" s="1"/>
  <c r="N103" i="3"/>
  <c r="O103" i="3"/>
  <c r="R103" i="3"/>
  <c r="S103" i="3"/>
  <c r="D104" i="3" a="1"/>
  <c r="H104" i="3" s="1"/>
  <c r="D104" i="3"/>
  <c r="D103" i="14" s="1"/>
  <c r="F104" i="3"/>
  <c r="R104" i="3"/>
  <c r="S104" i="3"/>
  <c r="D3" i="3" a="1"/>
  <c r="D3" i="3" s="1"/>
  <c r="D2" i="14" s="1"/>
  <c r="S3" i="3"/>
  <c r="L4" i="4"/>
  <c r="L5" i="4"/>
  <c r="L6" i="4"/>
  <c r="L7" i="4"/>
  <c r="L8" i="4"/>
  <c r="L9" i="4"/>
  <c r="L3" i="4"/>
  <c r="L10" i="4"/>
  <c r="L11" i="4"/>
  <c r="L12" i="4"/>
  <c r="L13" i="4"/>
  <c r="L14" i="4"/>
  <c r="L15" i="4"/>
  <c r="L16" i="4"/>
  <c r="L17" i="4"/>
  <c r="L18" i="4"/>
  <c r="L19" i="4"/>
  <c r="L20" i="4"/>
  <c r="L21" i="4"/>
  <c r="L37" i="4"/>
  <c r="L38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9" i="4"/>
  <c r="L40" i="4"/>
  <c r="L41" i="4"/>
  <c r="L42" i="4"/>
  <c r="L43" i="4"/>
  <c r="L44" i="4"/>
  <c r="L45" i="4"/>
  <c r="L46" i="4"/>
  <c r="L47" i="4"/>
  <c r="L48" i="4"/>
  <c r="L49" i="4"/>
  <c r="L50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70" i="4"/>
  <c r="L68" i="4"/>
  <c r="L69" i="4"/>
  <c r="L71" i="4"/>
  <c r="L72" i="4"/>
  <c r="L73" i="4"/>
  <c r="L74" i="4"/>
  <c r="L75" i="4"/>
  <c r="L76" i="4"/>
  <c r="L77" i="4"/>
  <c r="L78" i="4"/>
  <c r="L79" i="4"/>
  <c r="L80" i="4"/>
  <c r="L81" i="4"/>
  <c r="L82" i="4"/>
  <c r="J79" i="4"/>
  <c r="K79" i="4"/>
  <c r="J80" i="4"/>
  <c r="K80" i="4"/>
  <c r="J81" i="4"/>
  <c r="K81" i="4"/>
  <c r="J82" i="4"/>
  <c r="K82" i="4"/>
  <c r="I82" i="4"/>
  <c r="B3" i="14"/>
  <c r="B4" i="14" s="1"/>
  <c r="B5" i="14" s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C3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B25" i="14"/>
  <c r="B26" i="14" s="1"/>
  <c r="B27" i="14" s="1"/>
  <c r="B28" i="14" s="1"/>
  <c r="C25" i="14"/>
  <c r="C26" i="14"/>
  <c r="C27" i="14"/>
  <c r="C28" i="14"/>
  <c r="B29" i="14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C29" i="14"/>
  <c r="C30" i="14"/>
  <c r="C31" i="14"/>
  <c r="C32" i="14"/>
  <c r="C33" i="14"/>
  <c r="C34" i="14"/>
  <c r="C35" i="14"/>
  <c r="C36" i="14"/>
  <c r="C37" i="14"/>
  <c r="C38" i="14"/>
  <c r="C39" i="14"/>
  <c r="C40" i="14"/>
  <c r="B41" i="14"/>
  <c r="B42" i="14" s="1"/>
  <c r="B43" i="14" s="1"/>
  <c r="B44" i="14" s="1"/>
  <c r="B45" i="14" s="1"/>
  <c r="B46" i="14" s="1"/>
  <c r="B47" i="14" s="1"/>
  <c r="B48" i="14" s="1"/>
  <c r="B49" i="14" s="1"/>
  <c r="C41" i="14"/>
  <c r="C42" i="14"/>
  <c r="C43" i="14"/>
  <c r="C44" i="14"/>
  <c r="C45" i="14"/>
  <c r="C46" i="14"/>
  <c r="C47" i="14"/>
  <c r="C48" i="14"/>
  <c r="C49" i="14"/>
  <c r="B50" i="14"/>
  <c r="B51" i="14" s="1"/>
  <c r="B52" i="14" s="1"/>
  <c r="C50" i="14"/>
  <c r="C51" i="14"/>
  <c r="C52" i="14"/>
  <c r="B53" i="14"/>
  <c r="B54" i="14" s="1"/>
  <c r="C53" i="14"/>
  <c r="C54" i="14"/>
  <c r="B55" i="14"/>
  <c r="B56" i="14" s="1"/>
  <c r="B57" i="14" s="1"/>
  <c r="C55" i="14"/>
  <c r="C56" i="14"/>
  <c r="C57" i="14"/>
  <c r="B58" i="14"/>
  <c r="B59" i="14" s="1"/>
  <c r="C58" i="14"/>
  <c r="C59" i="14"/>
  <c r="B60" i="14"/>
  <c r="B61" i="14" s="1"/>
  <c r="B62" i="14" s="1"/>
  <c r="B63" i="14" s="1"/>
  <c r="B64" i="14" s="1"/>
  <c r="C60" i="14"/>
  <c r="C61" i="14"/>
  <c r="C62" i="14"/>
  <c r="C63" i="14"/>
  <c r="C64" i="14"/>
  <c r="B65" i="14"/>
  <c r="B66" i="14" s="1"/>
  <c r="B67" i="14" s="1"/>
  <c r="B68" i="14" s="1"/>
  <c r="B69" i="14" s="1"/>
  <c r="B70" i="14" s="1"/>
  <c r="B71" i="14" s="1"/>
  <c r="B72" i="14" s="1"/>
  <c r="B73" i="14" s="1"/>
  <c r="B74" i="14" s="1"/>
  <c r="B75" i="14" s="1"/>
  <c r="B76" i="14" s="1"/>
  <c r="B77" i="14" s="1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B78" i="14"/>
  <c r="B79" i="14" s="1"/>
  <c r="C78" i="14"/>
  <c r="C79" i="14"/>
  <c r="B80" i="14"/>
  <c r="B81" i="14" s="1"/>
  <c r="B82" i="14" s="1"/>
  <c r="B83" i="14" s="1"/>
  <c r="B84" i="14" s="1"/>
  <c r="B85" i="14" s="1"/>
  <c r="C80" i="14"/>
  <c r="C81" i="14"/>
  <c r="C82" i="14"/>
  <c r="C83" i="14"/>
  <c r="C84" i="14"/>
  <c r="C85" i="14"/>
  <c r="B86" i="14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C99" i="14"/>
  <c r="C100" i="14"/>
  <c r="C101" i="14"/>
  <c r="B102" i="14"/>
  <c r="B103" i="14" s="1"/>
  <c r="C102" i="14"/>
  <c r="C103" i="14"/>
  <c r="C2" i="14"/>
  <c r="B2" i="14"/>
  <c r="I5" i="4"/>
  <c r="J5" i="4"/>
  <c r="K5" i="4"/>
  <c r="I6" i="4"/>
  <c r="J6" i="4"/>
  <c r="K6" i="4"/>
  <c r="I7" i="4"/>
  <c r="J7" i="4"/>
  <c r="K7" i="4"/>
  <c r="I8" i="4"/>
  <c r="J8" i="4"/>
  <c r="K8" i="4"/>
  <c r="I9" i="4"/>
  <c r="J9" i="4"/>
  <c r="K9" i="4"/>
  <c r="J3" i="4"/>
  <c r="K3" i="4"/>
  <c r="I10" i="4"/>
  <c r="J10" i="4"/>
  <c r="K10" i="4"/>
  <c r="I11" i="4"/>
  <c r="J11" i="4"/>
  <c r="K11" i="4"/>
  <c r="I12" i="4"/>
  <c r="J12" i="4"/>
  <c r="K12" i="4"/>
  <c r="I13" i="4"/>
  <c r="J13" i="4"/>
  <c r="K13" i="4"/>
  <c r="I14" i="4"/>
  <c r="J14" i="4"/>
  <c r="K14" i="4"/>
  <c r="I15" i="4"/>
  <c r="J15" i="4"/>
  <c r="K15" i="4"/>
  <c r="I16" i="4"/>
  <c r="J16" i="4"/>
  <c r="K16" i="4"/>
  <c r="I17" i="4"/>
  <c r="J17" i="4"/>
  <c r="K17" i="4"/>
  <c r="I18" i="4"/>
  <c r="J18" i="4"/>
  <c r="K18" i="4"/>
  <c r="I19" i="4"/>
  <c r="J19" i="4"/>
  <c r="K19" i="4"/>
  <c r="I20" i="4"/>
  <c r="J20" i="4"/>
  <c r="K20" i="4"/>
  <c r="I21" i="4"/>
  <c r="J21" i="4"/>
  <c r="K21" i="4"/>
  <c r="I37" i="4"/>
  <c r="J37" i="4"/>
  <c r="K37" i="4"/>
  <c r="I38" i="4"/>
  <c r="J38" i="4"/>
  <c r="K38" i="4"/>
  <c r="I22" i="4"/>
  <c r="J22" i="4"/>
  <c r="K22" i="4"/>
  <c r="I23" i="4"/>
  <c r="J23" i="4"/>
  <c r="K23" i="4"/>
  <c r="I24" i="4"/>
  <c r="J24" i="4"/>
  <c r="K24" i="4"/>
  <c r="I25" i="4"/>
  <c r="J25" i="4"/>
  <c r="K25" i="4"/>
  <c r="I26" i="4"/>
  <c r="J26" i="4"/>
  <c r="K26" i="4"/>
  <c r="I27" i="4"/>
  <c r="J27" i="4"/>
  <c r="K27" i="4"/>
  <c r="I28" i="4"/>
  <c r="J28" i="4"/>
  <c r="K28" i="4"/>
  <c r="I29" i="4"/>
  <c r="J29" i="4"/>
  <c r="K29" i="4"/>
  <c r="I30" i="4"/>
  <c r="J30" i="4"/>
  <c r="K30" i="4"/>
  <c r="I31" i="4"/>
  <c r="J31" i="4"/>
  <c r="K31" i="4"/>
  <c r="I32" i="4"/>
  <c r="J32" i="4"/>
  <c r="K32" i="4"/>
  <c r="I33" i="4"/>
  <c r="J33" i="4"/>
  <c r="K33" i="4"/>
  <c r="I34" i="4"/>
  <c r="J34" i="4"/>
  <c r="K34" i="4"/>
  <c r="I35" i="4"/>
  <c r="J35" i="4"/>
  <c r="K35" i="4"/>
  <c r="I36" i="4"/>
  <c r="J36" i="4"/>
  <c r="K36" i="4"/>
  <c r="I39" i="4"/>
  <c r="J39" i="4"/>
  <c r="K39" i="4"/>
  <c r="I40" i="4"/>
  <c r="J40" i="4"/>
  <c r="K40" i="4"/>
  <c r="I41" i="4"/>
  <c r="J41" i="4"/>
  <c r="K41" i="4"/>
  <c r="I42" i="4"/>
  <c r="J42" i="4"/>
  <c r="K42" i="4"/>
  <c r="I43" i="4"/>
  <c r="J43" i="4"/>
  <c r="K43" i="4"/>
  <c r="I44" i="4"/>
  <c r="J44" i="4"/>
  <c r="K44" i="4"/>
  <c r="I45" i="4"/>
  <c r="J45" i="4"/>
  <c r="K45" i="4"/>
  <c r="I46" i="4"/>
  <c r="J46" i="4"/>
  <c r="K46" i="4"/>
  <c r="I47" i="4"/>
  <c r="J47" i="4"/>
  <c r="K47" i="4"/>
  <c r="I48" i="4"/>
  <c r="J48" i="4"/>
  <c r="K48" i="4"/>
  <c r="I49" i="4"/>
  <c r="J49" i="4"/>
  <c r="K49" i="4"/>
  <c r="I50" i="4"/>
  <c r="J50" i="4"/>
  <c r="K50" i="4"/>
  <c r="I53" i="4"/>
  <c r="J53" i="4"/>
  <c r="K53" i="4"/>
  <c r="I54" i="4"/>
  <c r="J54" i="4"/>
  <c r="K54" i="4"/>
  <c r="I55" i="4"/>
  <c r="J55" i="4"/>
  <c r="K55" i="4"/>
  <c r="I56" i="4"/>
  <c r="J56" i="4"/>
  <c r="K56" i="4"/>
  <c r="I57" i="4"/>
  <c r="J57" i="4"/>
  <c r="K57" i="4"/>
  <c r="I58" i="4"/>
  <c r="J58" i="4"/>
  <c r="K58" i="4"/>
  <c r="I59" i="4"/>
  <c r="J59" i="4"/>
  <c r="K59" i="4"/>
  <c r="I60" i="4"/>
  <c r="J60" i="4"/>
  <c r="K60" i="4"/>
  <c r="I61" i="4"/>
  <c r="J61" i="4"/>
  <c r="K61" i="4"/>
  <c r="I62" i="4"/>
  <c r="J62" i="4"/>
  <c r="I63" i="4"/>
  <c r="J63" i="4"/>
  <c r="K63" i="4"/>
  <c r="I64" i="4"/>
  <c r="J64" i="4"/>
  <c r="K64" i="4"/>
  <c r="I65" i="4"/>
  <c r="J65" i="4"/>
  <c r="K65" i="4"/>
  <c r="I66" i="4"/>
  <c r="J66" i="4"/>
  <c r="K66" i="4"/>
  <c r="I67" i="4"/>
  <c r="J67" i="4"/>
  <c r="K67" i="4"/>
  <c r="I70" i="4"/>
  <c r="J70" i="4"/>
  <c r="K70" i="4"/>
  <c r="I68" i="4"/>
  <c r="J68" i="4"/>
  <c r="K68" i="4"/>
  <c r="I69" i="4"/>
  <c r="J69" i="4"/>
  <c r="K69" i="4"/>
  <c r="I71" i="4"/>
  <c r="J71" i="4"/>
  <c r="K71" i="4"/>
  <c r="I72" i="4"/>
  <c r="J72" i="4"/>
  <c r="K72" i="4"/>
  <c r="I73" i="4"/>
  <c r="J73" i="4"/>
  <c r="K73" i="4"/>
  <c r="I74" i="4"/>
  <c r="J74" i="4"/>
  <c r="K74" i="4"/>
  <c r="I75" i="4"/>
  <c r="J75" i="4"/>
  <c r="K75" i="4"/>
  <c r="I76" i="4"/>
  <c r="J76" i="4"/>
  <c r="K76" i="4"/>
  <c r="I77" i="4"/>
  <c r="J77" i="4"/>
  <c r="K77" i="4"/>
  <c r="I78" i="4"/>
  <c r="J78" i="4"/>
  <c r="K78" i="4"/>
  <c r="I79" i="4"/>
  <c r="I80" i="4"/>
  <c r="I81" i="4"/>
  <c r="K4" i="4"/>
  <c r="J4" i="4"/>
  <c r="I4" i="4"/>
  <c r="V2" i="23" a="1"/>
  <c r="W2" i="23" a="1"/>
  <c r="S2" i="23" a="1"/>
  <c r="S3" i="23" a="1"/>
  <c r="I2" i="23" a="1"/>
  <c r="V4" i="23" a="1"/>
  <c r="T3" i="23" a="1"/>
  <c r="W4" i="23" a="1"/>
  <c r="U3" i="23" a="1"/>
  <c r="W3" i="23" a="1"/>
  <c r="U2" i="23" a="1"/>
  <c r="U4" i="23" a="1"/>
  <c r="I5" i="23" a="1"/>
  <c r="V3" i="23" a="1"/>
  <c r="S4" i="23" a="1"/>
  <c r="T4" i="23" a="1"/>
  <c r="T2" i="23" a="1"/>
  <c r="T4" i="23" l="1"/>
  <c r="S4" i="23"/>
  <c r="U4" i="23"/>
  <c r="W3" i="23"/>
  <c r="V3" i="23"/>
  <c r="U3" i="23"/>
  <c r="W4" i="23"/>
  <c r="T3" i="23"/>
  <c r="V4" i="23"/>
  <c r="S3" i="23"/>
  <c r="W2" i="23"/>
  <c r="V2" i="23"/>
  <c r="U2" i="23"/>
  <c r="T2" i="23"/>
  <c r="S2" i="23"/>
  <c r="I5" i="23"/>
  <c r="I2" i="23"/>
  <c r="U82" i="3" a="1"/>
  <c r="U82" i="3" s="1"/>
  <c r="U61" i="3" a="1"/>
  <c r="U61" i="3" s="1"/>
  <c r="U29" i="3" a="1"/>
  <c r="U29" i="3" s="1"/>
  <c r="U13" i="3" a="1"/>
  <c r="U13" i="3" s="1"/>
  <c r="D28" i="14"/>
  <c r="U66" i="3" a="1"/>
  <c r="U66" i="3" s="1"/>
  <c r="U34" i="3" a="1"/>
  <c r="U34" i="3" s="1"/>
  <c r="U45" i="3" a="1"/>
  <c r="U45" i="3" s="1"/>
  <c r="U18" i="3" a="1"/>
  <c r="U18" i="3" s="1"/>
  <c r="U50" i="3" a="1"/>
  <c r="U50" i="3" s="1"/>
  <c r="U100" i="3" a="1"/>
  <c r="U100" i="3" s="1"/>
  <c r="R62" i="3"/>
  <c r="G62" i="3"/>
  <c r="H62" i="3"/>
  <c r="L62" i="3"/>
  <c r="F61" i="14" s="1"/>
  <c r="N62" i="3"/>
  <c r="O62" i="3"/>
  <c r="P62" i="3"/>
  <c r="Q62" i="3"/>
  <c r="S62" i="3"/>
  <c r="D62" i="3"/>
  <c r="D61" i="14" s="1"/>
  <c r="Q104" i="3"/>
  <c r="H102" i="3"/>
  <c r="S98" i="3"/>
  <c r="N96" i="3"/>
  <c r="E94" i="3"/>
  <c r="Q92" i="3"/>
  <c r="L91" i="3"/>
  <c r="F90" i="14" s="1"/>
  <c r="E90" i="3"/>
  <c r="Q88" i="3"/>
  <c r="K87" i="3"/>
  <c r="E86" i="14" s="1"/>
  <c r="O80" i="3"/>
  <c r="G79" i="3"/>
  <c r="M77" i="3"/>
  <c r="I76" i="3"/>
  <c r="K76" i="3"/>
  <c r="E75" i="14" s="1"/>
  <c r="Q76" i="3"/>
  <c r="R76" i="3"/>
  <c r="S76" i="3"/>
  <c r="D76" i="3"/>
  <c r="G76" i="3"/>
  <c r="I74" i="3"/>
  <c r="O72" i="3"/>
  <c r="F71" i="3"/>
  <c r="L69" i="3"/>
  <c r="F68" i="14" s="1"/>
  <c r="Q68" i="3"/>
  <c r="J68" i="3"/>
  <c r="P68" i="3"/>
  <c r="R68" i="3"/>
  <c r="S68" i="3"/>
  <c r="D68" i="3"/>
  <c r="D67" i="14" s="1"/>
  <c r="G68" i="3"/>
  <c r="J52" i="3"/>
  <c r="Q96" i="3"/>
  <c r="L96" i="3"/>
  <c r="F95" i="14" s="1"/>
  <c r="O92" i="3"/>
  <c r="K91" i="3"/>
  <c r="E90" i="14" s="1"/>
  <c r="O88" i="3"/>
  <c r="J87" i="3"/>
  <c r="O86" i="3"/>
  <c r="I86" i="3"/>
  <c r="P86" i="3"/>
  <c r="Q86" i="3"/>
  <c r="R86" i="3"/>
  <c r="F86" i="3"/>
  <c r="N80" i="3"/>
  <c r="L77" i="3"/>
  <c r="F76" i="14" s="1"/>
  <c r="P75" i="3"/>
  <c r="N72" i="3"/>
  <c r="K69" i="3"/>
  <c r="E68" i="14" s="1"/>
  <c r="O67" i="3"/>
  <c r="N63" i="3"/>
  <c r="J54" i="3"/>
  <c r="O54" i="3"/>
  <c r="R54" i="3"/>
  <c r="D54" i="3"/>
  <c r="D53" i="14" s="1"/>
  <c r="F54" i="3"/>
  <c r="G54" i="3"/>
  <c r="H54" i="3"/>
  <c r="I54" i="3"/>
  <c r="K54" i="3"/>
  <c r="E53" i="14" s="1"/>
  <c r="N54" i="3"/>
  <c r="N104" i="3"/>
  <c r="I94" i="3"/>
  <c r="O94" i="3"/>
  <c r="Q94" i="3"/>
  <c r="F94" i="3"/>
  <c r="N92" i="3"/>
  <c r="H91" i="3"/>
  <c r="L72" i="3"/>
  <c r="F71" i="14" s="1"/>
  <c r="N71" i="3"/>
  <c r="J71" i="3"/>
  <c r="Q71" i="3"/>
  <c r="R71" i="3"/>
  <c r="S71" i="3"/>
  <c r="D71" i="3"/>
  <c r="D70" i="14" s="1"/>
  <c r="G71" i="3"/>
  <c r="I69" i="3"/>
  <c r="L52" i="3"/>
  <c r="F51" i="14" s="1"/>
  <c r="Q52" i="3"/>
  <c r="O52" i="3"/>
  <c r="D52" i="3"/>
  <c r="D51" i="14" s="1"/>
  <c r="E52" i="3"/>
  <c r="F52" i="3"/>
  <c r="G52" i="3"/>
  <c r="H52" i="3"/>
  <c r="K52" i="3"/>
  <c r="E51" i="14" s="1"/>
  <c r="D99" i="3"/>
  <c r="D98" i="14" s="1"/>
  <c r="J99" i="3"/>
  <c r="L99" i="3"/>
  <c r="F98" i="14" s="1"/>
  <c r="Q99" i="3"/>
  <c r="K96" i="3"/>
  <c r="E95" i="14" s="1"/>
  <c r="K90" i="3"/>
  <c r="E89" i="14" s="1"/>
  <c r="I90" i="3"/>
  <c r="P90" i="3"/>
  <c r="R90" i="3"/>
  <c r="F90" i="3"/>
  <c r="N88" i="3"/>
  <c r="H87" i="3"/>
  <c r="F79" i="3"/>
  <c r="K79" i="3"/>
  <c r="E78" i="14" s="1"/>
  <c r="Q79" i="3"/>
  <c r="R79" i="3"/>
  <c r="S79" i="3"/>
  <c r="D79" i="3"/>
  <c r="H79" i="3"/>
  <c r="J77" i="3"/>
  <c r="L63" i="3"/>
  <c r="F62" i="14" s="1"/>
  <c r="M104" i="3"/>
  <c r="S99" i="3"/>
  <c r="O98" i="3"/>
  <c r="J96" i="3"/>
  <c r="S93" i="3"/>
  <c r="M92" i="3"/>
  <c r="G91" i="3"/>
  <c r="S89" i="3"/>
  <c r="L88" i="3"/>
  <c r="F87" i="14" s="1"/>
  <c r="G87" i="3"/>
  <c r="N85" i="3"/>
  <c r="L80" i="3"/>
  <c r="F79" i="14" s="1"/>
  <c r="P78" i="3"/>
  <c r="I77" i="3"/>
  <c r="N75" i="3"/>
  <c r="K72" i="3"/>
  <c r="E71" i="14" s="1"/>
  <c r="P70" i="3"/>
  <c r="H69" i="3"/>
  <c r="M67" i="3"/>
  <c r="K63" i="3"/>
  <c r="E62" i="14" s="1"/>
  <c r="H56" i="3"/>
  <c r="M56" i="3"/>
  <c r="F56" i="3"/>
  <c r="I56" i="3"/>
  <c r="J56" i="3"/>
  <c r="K56" i="3"/>
  <c r="E55" i="14" s="1"/>
  <c r="L56" i="3"/>
  <c r="F55" i="14" s="1"/>
  <c r="N56" i="3"/>
  <c r="Q56" i="3"/>
  <c r="P104" i="3"/>
  <c r="M80" i="3"/>
  <c r="Q102" i="3"/>
  <c r="G102" i="3"/>
  <c r="I102" i="3"/>
  <c r="N102" i="3"/>
  <c r="I96" i="3"/>
  <c r="F77" i="3"/>
  <c r="K74" i="3"/>
  <c r="E73" i="14" s="1"/>
  <c r="J74" i="3"/>
  <c r="Q74" i="3"/>
  <c r="R74" i="3"/>
  <c r="S74" i="3"/>
  <c r="D74" i="3"/>
  <c r="G74" i="3"/>
  <c r="I72" i="3"/>
  <c r="F69" i="3"/>
  <c r="L67" i="3"/>
  <c r="F66" i="14" s="1"/>
  <c r="J63" i="3"/>
  <c r="R55" i="3"/>
  <c r="R101" i="3"/>
  <c r="H101" i="3"/>
  <c r="J101" i="3"/>
  <c r="O101" i="3"/>
  <c r="K104" i="3"/>
  <c r="E103" i="14" s="1"/>
  <c r="R99" i="3"/>
  <c r="Q93" i="3"/>
  <c r="L92" i="3"/>
  <c r="F91" i="14" s="1"/>
  <c r="E91" i="3"/>
  <c r="Q89" i="3"/>
  <c r="K88" i="3"/>
  <c r="E87" i="14" s="1"/>
  <c r="E87" i="3"/>
  <c r="J80" i="3"/>
  <c r="M75" i="3"/>
  <c r="J104" i="3"/>
  <c r="S101" i="3"/>
  <c r="P99" i="3"/>
  <c r="L98" i="3"/>
  <c r="F97" i="14" s="1"/>
  <c r="H96" i="3"/>
  <c r="H95" i="3"/>
  <c r="N95" i="3"/>
  <c r="P95" i="3"/>
  <c r="E95" i="3"/>
  <c r="O93" i="3"/>
  <c r="K92" i="3"/>
  <c r="E91" i="14" s="1"/>
  <c r="O89" i="3"/>
  <c r="J88" i="3"/>
  <c r="L85" i="3"/>
  <c r="F84" i="14" s="1"/>
  <c r="P81" i="3"/>
  <c r="I80" i="3"/>
  <c r="N78" i="3"/>
  <c r="L75" i="3"/>
  <c r="F74" i="14" s="1"/>
  <c r="P73" i="3"/>
  <c r="H72" i="3"/>
  <c r="M70" i="3"/>
  <c r="K67" i="3"/>
  <c r="E66" i="14" s="1"/>
  <c r="H63" i="3"/>
  <c r="E59" i="3"/>
  <c r="J59" i="3"/>
  <c r="F59" i="3"/>
  <c r="K59" i="3"/>
  <c r="E58" i="14" s="1"/>
  <c r="M59" i="3"/>
  <c r="N59" i="3"/>
  <c r="O59" i="3"/>
  <c r="P59" i="3"/>
  <c r="Q59" i="3"/>
  <c r="Q55" i="3"/>
  <c r="P96" i="3"/>
  <c r="O99" i="3"/>
  <c r="F96" i="3"/>
  <c r="J91" i="3"/>
  <c r="I91" i="3"/>
  <c r="P91" i="3"/>
  <c r="R91" i="3"/>
  <c r="F91" i="3"/>
  <c r="N89" i="3"/>
  <c r="H88" i="3"/>
  <c r="N87" i="3"/>
  <c r="I87" i="3"/>
  <c r="P87" i="3"/>
  <c r="R87" i="3"/>
  <c r="F87" i="3"/>
  <c r="O81" i="3"/>
  <c r="G80" i="3"/>
  <c r="I104" i="3"/>
  <c r="N93" i="3"/>
  <c r="H92" i="3"/>
  <c r="H77" i="3"/>
  <c r="K77" i="3"/>
  <c r="E76" i="14" s="1"/>
  <c r="Q77" i="3"/>
  <c r="R77" i="3"/>
  <c r="S77" i="3"/>
  <c r="D77" i="3"/>
  <c r="G77" i="3"/>
  <c r="F72" i="3"/>
  <c r="P69" i="3"/>
  <c r="J69" i="3"/>
  <c r="Q69" i="3"/>
  <c r="R69" i="3"/>
  <c r="S69" i="3"/>
  <c r="D69" i="3"/>
  <c r="D68" i="14" s="1"/>
  <c r="G69" i="3"/>
  <c r="P103" i="3"/>
  <c r="F103" i="3"/>
  <c r="H103" i="3"/>
  <c r="M103" i="3"/>
  <c r="P101" i="3"/>
  <c r="N99" i="3"/>
  <c r="R94" i="3"/>
  <c r="M93" i="3"/>
  <c r="S90" i="3"/>
  <c r="M89" i="3"/>
  <c r="S86" i="3"/>
  <c r="Q84" i="3"/>
  <c r="I84" i="3"/>
  <c r="O84" i="3"/>
  <c r="P84" i="3"/>
  <c r="R84" i="3"/>
  <c r="F84" i="3"/>
  <c r="N81" i="3"/>
  <c r="P76" i="3"/>
  <c r="N73" i="3"/>
  <c r="O68" i="3"/>
  <c r="E80" i="3"/>
  <c r="K80" i="3"/>
  <c r="E79" i="14" s="1"/>
  <c r="Q80" i="3"/>
  <c r="R80" i="3"/>
  <c r="S80" i="3"/>
  <c r="D80" i="3"/>
  <c r="D79" i="14" s="1"/>
  <c r="H80" i="3"/>
  <c r="M72" i="3"/>
  <c r="J72" i="3"/>
  <c r="Q72" i="3"/>
  <c r="R72" i="3"/>
  <c r="S72" i="3"/>
  <c r="D72" i="3"/>
  <c r="D71" i="14" s="1"/>
  <c r="G72" i="3"/>
  <c r="Q63" i="3"/>
  <c r="F63" i="3"/>
  <c r="I63" i="3"/>
  <c r="M63" i="3"/>
  <c r="O63" i="3"/>
  <c r="P63" i="3"/>
  <c r="R63" i="3"/>
  <c r="S63" i="3"/>
  <c r="E63" i="3"/>
  <c r="M62" i="3"/>
  <c r="I99" i="3"/>
  <c r="I92" i="3"/>
  <c r="J92" i="3"/>
  <c r="P92" i="3"/>
  <c r="R92" i="3"/>
  <c r="F92" i="3"/>
  <c r="M88" i="3"/>
  <c r="I88" i="3"/>
  <c r="P88" i="3"/>
  <c r="R88" i="3"/>
  <c r="F88" i="3"/>
  <c r="J81" i="3"/>
  <c r="J75" i="3"/>
  <c r="K75" i="3"/>
  <c r="E74" i="14" s="1"/>
  <c r="Q75" i="3"/>
  <c r="R75" i="3"/>
  <c r="S75" i="3"/>
  <c r="D75" i="3"/>
  <c r="D74" i="14" s="1"/>
  <c r="G75" i="3"/>
  <c r="I73" i="3"/>
  <c r="O71" i="3"/>
  <c r="R67" i="3"/>
  <c r="J67" i="3"/>
  <c r="P67" i="3"/>
  <c r="Q67" i="3"/>
  <c r="S67" i="3"/>
  <c r="D67" i="3"/>
  <c r="G67" i="3"/>
  <c r="K62" i="3"/>
  <c r="E61" i="14" s="1"/>
  <c r="I55" i="3"/>
  <c r="N55" i="3"/>
  <c r="S55" i="3"/>
  <c r="E55" i="3"/>
  <c r="G55" i="3"/>
  <c r="H55" i="3"/>
  <c r="J55" i="3"/>
  <c r="K55" i="3"/>
  <c r="E54" i="14" s="1"/>
  <c r="L55" i="3"/>
  <c r="F54" i="14" s="1"/>
  <c r="P55" i="3"/>
  <c r="G96" i="3"/>
  <c r="M96" i="3"/>
  <c r="O96" i="3"/>
  <c r="D96" i="3"/>
  <c r="K93" i="3"/>
  <c r="E92" i="14" s="1"/>
  <c r="K101" i="3"/>
  <c r="E100" i="14" s="1"/>
  <c r="N79" i="3"/>
  <c r="H73" i="3"/>
  <c r="J62" i="3"/>
  <c r="S52" i="3"/>
  <c r="K99" i="3"/>
  <c r="E98" i="14" s="1"/>
  <c r="O104" i="3"/>
  <c r="E104" i="3"/>
  <c r="G104" i="3"/>
  <c r="L104" i="3"/>
  <c r="F103" i="14" s="1"/>
  <c r="H89" i="3"/>
  <c r="H99" i="3"/>
  <c r="K94" i="3"/>
  <c r="E93" i="14" s="1"/>
  <c r="E93" i="3"/>
  <c r="Q91" i="3"/>
  <c r="L90" i="3"/>
  <c r="F89" i="14" s="1"/>
  <c r="E89" i="3"/>
  <c r="Q87" i="3"/>
  <c r="J86" i="3"/>
  <c r="O74" i="3"/>
  <c r="F73" i="3"/>
  <c r="L71" i="3"/>
  <c r="F70" i="14" s="1"/>
  <c r="O70" i="3"/>
  <c r="J70" i="3"/>
  <c r="Q70" i="3"/>
  <c r="R70" i="3"/>
  <c r="S70" i="3"/>
  <c r="D70" i="3"/>
  <c r="G70" i="3"/>
  <c r="S56" i="3"/>
  <c r="Q54" i="3"/>
  <c r="R52" i="3"/>
  <c r="J89" i="3"/>
  <c r="I93" i="3"/>
  <c r="L94" i="3"/>
  <c r="F93" i="14" s="1"/>
  <c r="G93" i="3"/>
  <c r="S91" i="3"/>
  <c r="M90" i="3"/>
  <c r="G89" i="3"/>
  <c r="S87" i="3"/>
  <c r="K86" i="3"/>
  <c r="E85" i="14" s="1"/>
  <c r="I81" i="3"/>
  <c r="M71" i="3"/>
  <c r="M102" i="3"/>
  <c r="I101" i="3"/>
  <c r="G99" i="3"/>
  <c r="E98" i="3"/>
  <c r="K98" i="3"/>
  <c r="E97" i="14" s="1"/>
  <c r="M98" i="3"/>
  <c r="R98" i="3"/>
  <c r="S96" i="3"/>
  <c r="P85" i="3"/>
  <c r="I85" i="3"/>
  <c r="O85" i="3"/>
  <c r="Q85" i="3"/>
  <c r="R85" i="3"/>
  <c r="F85" i="3"/>
  <c r="G81" i="3"/>
  <c r="M79" i="3"/>
  <c r="G78" i="3"/>
  <c r="K78" i="3"/>
  <c r="E77" i="14" s="1"/>
  <c r="Q78" i="3"/>
  <c r="R78" i="3"/>
  <c r="S78" i="3"/>
  <c r="D78" i="3"/>
  <c r="D77" i="14" s="1"/>
  <c r="H78" i="3"/>
  <c r="I62" i="3"/>
  <c r="F58" i="3"/>
  <c r="K58" i="3"/>
  <c r="E57" i="14" s="1"/>
  <c r="D58" i="3"/>
  <c r="D57" i="14" s="1"/>
  <c r="I58" i="3"/>
  <c r="L58" i="3"/>
  <c r="F57" i="14" s="1"/>
  <c r="M58" i="3"/>
  <c r="N58" i="3"/>
  <c r="O58" i="3"/>
  <c r="P58" i="3"/>
  <c r="S58" i="3"/>
  <c r="Q103" i="3"/>
  <c r="L102" i="3"/>
  <c r="F101" i="14" s="1"/>
  <c r="G101" i="3"/>
  <c r="F99" i="3"/>
  <c r="R96" i="3"/>
  <c r="M95" i="3"/>
  <c r="J94" i="3"/>
  <c r="O91" i="3"/>
  <c r="J90" i="3"/>
  <c r="O87" i="3"/>
  <c r="H86" i="3"/>
  <c r="S84" i="3"/>
  <c r="L79" i="3"/>
  <c r="F78" i="14" s="1"/>
  <c r="P77" i="3"/>
  <c r="H76" i="3"/>
  <c r="N74" i="3"/>
  <c r="K71" i="3"/>
  <c r="E70" i="14" s="1"/>
  <c r="O69" i="3"/>
  <c r="H68" i="3"/>
  <c r="F62" i="3"/>
  <c r="R56" i="3"/>
  <c r="P54" i="3"/>
  <c r="P52" i="3"/>
  <c r="H93" i="3"/>
  <c r="J93" i="3"/>
  <c r="P93" i="3"/>
  <c r="R93" i="3"/>
  <c r="F93" i="3"/>
  <c r="L89" i="3"/>
  <c r="F88" i="14" s="1"/>
  <c r="I89" i="3"/>
  <c r="P89" i="3"/>
  <c r="R89" i="3"/>
  <c r="F89" i="3"/>
  <c r="D81" i="3"/>
  <c r="K81" i="3"/>
  <c r="E80" i="14" s="1"/>
  <c r="Q81" i="3"/>
  <c r="R81" i="3"/>
  <c r="S81" i="3"/>
  <c r="E81" i="3"/>
  <c r="H81" i="3"/>
  <c r="O77" i="3"/>
  <c r="L73" i="3"/>
  <c r="F72" i="14" s="1"/>
  <c r="J73" i="3"/>
  <c r="Q73" i="3"/>
  <c r="R73" i="3"/>
  <c r="S73" i="3"/>
  <c r="D73" i="3"/>
  <c r="G73" i="3"/>
  <c r="I71" i="3"/>
  <c r="N69" i="3"/>
  <c r="E62" i="3"/>
  <c r="M54" i="3"/>
  <c r="N52" i="3"/>
  <c r="I37" i="3"/>
  <c r="J37" i="3"/>
  <c r="K37" i="3"/>
  <c r="E36" i="14" s="1"/>
  <c r="P37" i="3"/>
  <c r="D37" i="3"/>
  <c r="E37" i="3"/>
  <c r="F37" i="3"/>
  <c r="G37" i="3"/>
  <c r="H37" i="3"/>
  <c r="L37" i="3"/>
  <c r="F36" i="14" s="1"/>
  <c r="M37" i="3"/>
  <c r="N37" i="3"/>
  <c r="O37" i="3"/>
  <c r="Q37" i="3"/>
  <c r="R37" i="3"/>
  <c r="S37" i="3"/>
  <c r="F83" i="3"/>
  <c r="H65" i="3"/>
  <c r="D60" i="3"/>
  <c r="D59" i="14" s="1"/>
  <c r="I60" i="3"/>
  <c r="M53" i="3"/>
  <c r="J51" i="3"/>
  <c r="K49" i="3"/>
  <c r="E48" i="14" s="1"/>
  <c r="J48" i="3"/>
  <c r="H46" i="3"/>
  <c r="R41" i="3"/>
  <c r="O40" i="3"/>
  <c r="S36" i="3"/>
  <c r="O35" i="3"/>
  <c r="J33" i="3"/>
  <c r="N30" i="3"/>
  <c r="R24" i="3"/>
  <c r="Q24" i="3"/>
  <c r="R44" i="3"/>
  <c r="D44" i="3"/>
  <c r="D43" i="14" s="1"/>
  <c r="I44" i="3"/>
  <c r="S42" i="3"/>
  <c r="P41" i="3"/>
  <c r="L40" i="3"/>
  <c r="F39" i="14" s="1"/>
  <c r="H38" i="3"/>
  <c r="I38" i="3"/>
  <c r="J38" i="3"/>
  <c r="O38" i="3"/>
  <c r="P36" i="3"/>
  <c r="M32" i="3"/>
  <c r="N32" i="3"/>
  <c r="O32" i="3"/>
  <c r="P32" i="3"/>
  <c r="E32" i="3"/>
  <c r="L30" i="3"/>
  <c r="F29" i="14" s="1"/>
  <c r="O24" i="3"/>
  <c r="Q23" i="3"/>
  <c r="F23" i="3"/>
  <c r="G23" i="3"/>
  <c r="H23" i="3"/>
  <c r="I23" i="3"/>
  <c r="M23" i="3"/>
  <c r="N23" i="3"/>
  <c r="D20" i="3"/>
  <c r="I20" i="3"/>
  <c r="J20" i="3"/>
  <c r="K20" i="3"/>
  <c r="E19" i="14" s="1"/>
  <c r="L20" i="3"/>
  <c r="F19" i="14" s="1"/>
  <c r="P20" i="3"/>
  <c r="Q20" i="3"/>
  <c r="P64" i="3"/>
  <c r="E64" i="3"/>
  <c r="I53" i="3"/>
  <c r="G48" i="3"/>
  <c r="R42" i="3"/>
  <c r="O41" i="3"/>
  <c r="K40" i="3"/>
  <c r="E39" i="14" s="1"/>
  <c r="O36" i="3"/>
  <c r="I35" i="3"/>
  <c r="G33" i="3"/>
  <c r="S31" i="3"/>
  <c r="K30" i="3"/>
  <c r="E29" i="14" s="1"/>
  <c r="N24" i="3"/>
  <c r="S22" i="3"/>
  <c r="S19" i="3"/>
  <c r="R46" i="3"/>
  <c r="G46" i="3"/>
  <c r="Q42" i="3"/>
  <c r="N41" i="3"/>
  <c r="J40" i="3"/>
  <c r="N36" i="3"/>
  <c r="R31" i="3"/>
  <c r="J30" i="3"/>
  <c r="K24" i="3"/>
  <c r="E23" i="14" s="1"/>
  <c r="Q22" i="3"/>
  <c r="P19" i="3"/>
  <c r="O65" i="3"/>
  <c r="D65" i="3"/>
  <c r="N97" i="3"/>
  <c r="U97" i="3" s="1" a="1"/>
  <c r="U97" i="3" s="1"/>
  <c r="Q83" i="3"/>
  <c r="S64" i="3"/>
  <c r="G53" i="3"/>
  <c r="Q47" i="3"/>
  <c r="F47" i="3"/>
  <c r="S44" i="3"/>
  <c r="P42" i="3"/>
  <c r="M41" i="3"/>
  <c r="I40" i="3"/>
  <c r="G39" i="3"/>
  <c r="H39" i="3"/>
  <c r="I39" i="3"/>
  <c r="N39" i="3"/>
  <c r="M36" i="3"/>
  <c r="G35" i="3"/>
  <c r="M31" i="3"/>
  <c r="I30" i="3"/>
  <c r="S25" i="3"/>
  <c r="J24" i="3"/>
  <c r="P22" i="3"/>
  <c r="O19" i="3"/>
  <c r="S65" i="3"/>
  <c r="F53" i="3"/>
  <c r="P48" i="3"/>
  <c r="E48" i="3"/>
  <c r="S46" i="3"/>
  <c r="Q44" i="3"/>
  <c r="O42" i="3"/>
  <c r="K41" i="3"/>
  <c r="E40" i="14" s="1"/>
  <c r="E40" i="3"/>
  <c r="S38" i="3"/>
  <c r="I36" i="3"/>
  <c r="L33" i="3"/>
  <c r="F32" i="14" s="1"/>
  <c r="M33" i="3"/>
  <c r="N33" i="3"/>
  <c r="O33" i="3"/>
  <c r="D33" i="3"/>
  <c r="L31" i="3"/>
  <c r="F30" i="14" s="1"/>
  <c r="H30" i="3"/>
  <c r="R25" i="3"/>
  <c r="I24" i="3"/>
  <c r="M22" i="3"/>
  <c r="N19" i="3"/>
  <c r="O83" i="3"/>
  <c r="R65" i="3"/>
  <c r="Q64" i="3"/>
  <c r="M51" i="3"/>
  <c r="R51" i="3"/>
  <c r="O49" i="3"/>
  <c r="D49" i="3"/>
  <c r="D48" i="14" s="1"/>
  <c r="S47" i="3"/>
  <c r="Q46" i="3"/>
  <c r="P44" i="3"/>
  <c r="N42" i="3"/>
  <c r="J41" i="3"/>
  <c r="R38" i="3"/>
  <c r="H36" i="3"/>
  <c r="S32" i="3"/>
  <c r="K31" i="3"/>
  <c r="E30" i="14" s="1"/>
  <c r="F30" i="3"/>
  <c r="Q25" i="3"/>
  <c r="L22" i="3"/>
  <c r="F21" i="14" s="1"/>
  <c r="I19" i="3"/>
  <c r="F40" i="3"/>
  <c r="G40" i="3"/>
  <c r="H40" i="3"/>
  <c r="M40" i="3"/>
  <c r="P24" i="3"/>
  <c r="E24" i="3"/>
  <c r="F24" i="3"/>
  <c r="G24" i="3"/>
  <c r="H24" i="3"/>
  <c r="L24" i="3"/>
  <c r="F23" i="14" s="1"/>
  <c r="M24" i="3"/>
  <c r="K22" i="3"/>
  <c r="E21" i="14" s="1"/>
  <c r="H19" i="3"/>
  <c r="K53" i="3"/>
  <c r="E52" i="14" s="1"/>
  <c r="P53" i="3"/>
  <c r="O46" i="3"/>
  <c r="N44" i="3"/>
  <c r="L42" i="3"/>
  <c r="F41" i="14" s="1"/>
  <c r="H41" i="3"/>
  <c r="P38" i="3"/>
  <c r="F36" i="3"/>
  <c r="K35" i="3"/>
  <c r="E34" i="14" s="1"/>
  <c r="L35" i="3"/>
  <c r="F34" i="14" s="1"/>
  <c r="M35" i="3"/>
  <c r="R35" i="3"/>
  <c r="Q32" i="3"/>
  <c r="I31" i="3"/>
  <c r="N25" i="3"/>
  <c r="S23" i="3"/>
  <c r="F22" i="3"/>
  <c r="S20" i="3"/>
  <c r="G19" i="3"/>
  <c r="J42" i="3"/>
  <c r="N38" i="3"/>
  <c r="E36" i="3"/>
  <c r="H31" i="3"/>
  <c r="O30" i="3"/>
  <c r="P30" i="3"/>
  <c r="Q30" i="3"/>
  <c r="R30" i="3"/>
  <c r="G30" i="3"/>
  <c r="M25" i="3"/>
  <c r="E22" i="3"/>
  <c r="F19" i="3"/>
  <c r="I42" i="3"/>
  <c r="E41" i="3"/>
  <c r="F41" i="3"/>
  <c r="G41" i="3"/>
  <c r="L41" i="3"/>
  <c r="F40" i="14" s="1"/>
  <c r="G31" i="3"/>
  <c r="J25" i="3"/>
  <c r="J36" i="3"/>
  <c r="K36" i="3"/>
  <c r="E35" i="14" s="1"/>
  <c r="L36" i="3"/>
  <c r="F35" i="14" s="1"/>
  <c r="Q36" i="3"/>
  <c r="R22" i="3"/>
  <c r="G22" i="3"/>
  <c r="H22" i="3"/>
  <c r="I22" i="3"/>
  <c r="J22" i="3"/>
  <c r="N22" i="3"/>
  <c r="O22" i="3"/>
  <c r="E19" i="3"/>
  <c r="J19" i="3"/>
  <c r="K19" i="3"/>
  <c r="E18" i="14" s="1"/>
  <c r="L19" i="3"/>
  <c r="F18" i="14" s="1"/>
  <c r="M19" i="3"/>
  <c r="Q19" i="3"/>
  <c r="R19" i="3"/>
  <c r="H42" i="3"/>
  <c r="S40" i="3"/>
  <c r="I83" i="3"/>
  <c r="K65" i="3"/>
  <c r="E64" i="14" s="1"/>
  <c r="J64" i="3"/>
  <c r="G60" i="3"/>
  <c r="G57" i="3"/>
  <c r="L57" i="3"/>
  <c r="F56" i="14" s="1"/>
  <c r="Q53" i="3"/>
  <c r="N51" i="3"/>
  <c r="N49" i="3"/>
  <c r="M48" i="3"/>
  <c r="L47" i="3"/>
  <c r="F46" i="14" s="1"/>
  <c r="K46" i="3"/>
  <c r="E45" i="14" s="1"/>
  <c r="J44" i="3"/>
  <c r="R40" i="3"/>
  <c r="O39" i="3"/>
  <c r="K38" i="3"/>
  <c r="E37" i="14" s="1"/>
  <c r="S35" i="3"/>
  <c r="Q33" i="3"/>
  <c r="I32" i="3"/>
  <c r="L23" i="3"/>
  <c r="F22" i="14" s="1"/>
  <c r="M20" i="3"/>
  <c r="D42" i="3"/>
  <c r="D41" i="14" s="1"/>
  <c r="E42" i="3"/>
  <c r="F42" i="3"/>
  <c r="K42" i="3"/>
  <c r="E41" i="14" s="1"/>
  <c r="Q40" i="3"/>
  <c r="N31" i="3"/>
  <c r="O31" i="3"/>
  <c r="P31" i="3"/>
  <c r="Q31" i="3"/>
  <c r="F31" i="3"/>
  <c r="O25" i="3"/>
  <c r="D25" i="3"/>
  <c r="E25" i="3"/>
  <c r="F25" i="3"/>
  <c r="G25" i="3"/>
  <c r="K25" i="3"/>
  <c r="E24" i="14" s="1"/>
  <c r="L25" i="3"/>
  <c r="F24" i="14" s="1"/>
  <c r="J43" i="3"/>
  <c r="U43" i="3" s="1" a="1"/>
  <c r="U43" i="3" s="1"/>
  <c r="I28" i="3"/>
  <c r="J27" i="3"/>
  <c r="U27" i="3" s="1" a="1"/>
  <c r="U27" i="3" s="1"/>
  <c r="K26" i="3"/>
  <c r="E25" i="14" s="1"/>
  <c r="P21" i="3"/>
  <c r="D17" i="3"/>
  <c r="E16" i="3"/>
  <c r="F15" i="3"/>
  <c r="G14" i="3"/>
  <c r="I12" i="3"/>
  <c r="J11" i="3"/>
  <c r="K10" i="3"/>
  <c r="E9" i="14" s="1"/>
  <c r="L9" i="3"/>
  <c r="F8" i="14" s="1"/>
  <c r="M8" i="3"/>
  <c r="N7" i="3"/>
  <c r="O6" i="3"/>
  <c r="P5" i="3"/>
  <c r="Q4" i="3"/>
  <c r="D16" i="3"/>
  <c r="E15" i="3"/>
  <c r="F14" i="3"/>
  <c r="K9" i="3"/>
  <c r="E8" i="14" s="1"/>
  <c r="L8" i="3"/>
  <c r="M7" i="3"/>
  <c r="N6" i="3"/>
  <c r="P4" i="3"/>
  <c r="D15" i="3"/>
  <c r="D14" i="14" s="1"/>
  <c r="J9" i="3"/>
  <c r="K8" i="3"/>
  <c r="L7" i="3"/>
  <c r="M6" i="3"/>
  <c r="O4" i="3"/>
  <c r="I9" i="3"/>
  <c r="J8" i="3"/>
  <c r="K7" i="3"/>
  <c r="L6" i="3"/>
  <c r="N4" i="3"/>
  <c r="Q16" i="3"/>
  <c r="R15" i="3"/>
  <c r="H9" i="3"/>
  <c r="I8" i="3"/>
  <c r="J7" i="3"/>
  <c r="K6" i="3"/>
  <c r="M4" i="3"/>
  <c r="D28" i="3"/>
  <c r="F26" i="3"/>
  <c r="K21" i="3"/>
  <c r="E20" i="14" s="1"/>
  <c r="O17" i="3"/>
  <c r="P16" i="3"/>
  <c r="Q15" i="3"/>
  <c r="R14" i="3"/>
  <c r="D12" i="3"/>
  <c r="E11" i="3"/>
  <c r="F10" i="3"/>
  <c r="G9" i="3"/>
  <c r="H8" i="3"/>
  <c r="I7" i="3"/>
  <c r="J6" i="3"/>
  <c r="K5" i="3"/>
  <c r="L4" i="3"/>
  <c r="E26" i="3"/>
  <c r="J21" i="3"/>
  <c r="N17" i="3"/>
  <c r="O16" i="3"/>
  <c r="P15" i="3"/>
  <c r="Q14" i="3"/>
  <c r="E10" i="3"/>
  <c r="F9" i="3"/>
  <c r="G8" i="3"/>
  <c r="H7" i="3"/>
  <c r="I6" i="3"/>
  <c r="J5" i="3"/>
  <c r="K4" i="3"/>
  <c r="I21" i="3"/>
  <c r="M17" i="3"/>
  <c r="N16" i="3"/>
  <c r="O15" i="3"/>
  <c r="P14" i="3"/>
  <c r="E9" i="3"/>
  <c r="F8" i="3"/>
  <c r="G7" i="3"/>
  <c r="H6" i="3"/>
  <c r="I5" i="3"/>
  <c r="J4" i="3"/>
  <c r="L17" i="3"/>
  <c r="F16" i="14" s="1"/>
  <c r="M16" i="3"/>
  <c r="N15" i="3"/>
  <c r="O14" i="3"/>
  <c r="D9" i="3"/>
  <c r="E8" i="3"/>
  <c r="F7" i="3"/>
  <c r="G6" i="3"/>
  <c r="I4" i="3"/>
  <c r="L16" i="3"/>
  <c r="F15" i="14" s="1"/>
  <c r="M15" i="3"/>
  <c r="D8" i="3"/>
  <c r="E7" i="3"/>
  <c r="F6" i="3"/>
  <c r="H4" i="3"/>
  <c r="D7" i="3"/>
  <c r="E6" i="3"/>
  <c r="G4" i="3"/>
  <c r="D6" i="3"/>
  <c r="F4" i="3"/>
  <c r="E4" i="3"/>
  <c r="R6" i="3"/>
  <c r="R3" i="3"/>
  <c r="Q3" i="3"/>
  <c r="P3" i="3"/>
  <c r="O3" i="3"/>
  <c r="N3" i="3"/>
  <c r="M3" i="3"/>
  <c r="L3" i="3"/>
  <c r="F2" i="14" s="1"/>
  <c r="K3" i="3"/>
  <c r="E2" i="14" s="1"/>
  <c r="J3" i="3"/>
  <c r="I3" i="3"/>
  <c r="H3" i="3"/>
  <c r="G3" i="3"/>
  <c r="F3" i="3"/>
  <c r="E3" i="3"/>
  <c r="D85" i="14"/>
  <c r="F60" i="14"/>
  <c r="E14" i="14"/>
  <c r="F99" i="14"/>
  <c r="D31" i="14"/>
  <c r="F11" i="14"/>
  <c r="E99" i="14"/>
  <c r="F43" i="14"/>
  <c r="E13" i="14"/>
  <c r="E43" i="14"/>
  <c r="D91" i="14"/>
  <c r="D47" i="14"/>
  <c r="E94" i="14"/>
  <c r="E11" i="14"/>
  <c r="E60" i="14"/>
  <c r="F27" i="14"/>
  <c r="F48" i="14"/>
  <c r="E101" i="14"/>
  <c r="E32" i="14"/>
  <c r="E17" i="14"/>
  <c r="F12" i="14"/>
  <c r="E12" i="14"/>
  <c r="D60" i="14"/>
  <c r="E26" i="14"/>
  <c r="F86" i="14"/>
  <c r="D12" i="14"/>
  <c r="D65" i="14"/>
  <c r="F65" i="14"/>
  <c r="E65" i="14"/>
  <c r="F63" i="14"/>
  <c r="D63" i="14"/>
  <c r="D96" i="14"/>
  <c r="D58" i="14"/>
  <c r="F58" i="14"/>
  <c r="D49" i="14"/>
  <c r="F49" i="14"/>
  <c r="E49" i="14"/>
  <c r="D29" i="14"/>
  <c r="D54" i="14"/>
  <c r="F38" i="14"/>
  <c r="D38" i="14"/>
  <c r="E38" i="14"/>
  <c r="D25" i="14"/>
  <c r="F25" i="14"/>
  <c r="D33" i="14"/>
  <c r="F33" i="14"/>
  <c r="E33" i="14"/>
  <c r="F67" i="14"/>
  <c r="F44" i="14"/>
  <c r="F85" i="14"/>
  <c r="E82" i="14"/>
  <c r="E67" i="14"/>
  <c r="E44" i="14"/>
  <c r="F37" i="14"/>
  <c r="D37" i="14"/>
  <c r="D88" i="14"/>
  <c r="D83" i="14"/>
  <c r="F100" i="14"/>
  <c r="D102" i="14"/>
  <c r="F92" i="14"/>
  <c r="E88" i="14"/>
  <c r="D42" i="14"/>
  <c r="F42" i="14"/>
  <c r="E42" i="14"/>
  <c r="D39" i="14"/>
  <c r="D97" i="14"/>
  <c r="D81" i="14"/>
  <c r="F81" i="14"/>
  <c r="E81" i="14"/>
  <c r="F96" i="14"/>
  <c r="E72" i="14"/>
  <c r="F59" i="14"/>
  <c r="F52" i="14"/>
  <c r="D46" i="14"/>
  <c r="E46" i="14"/>
  <c r="D82" i="14"/>
  <c r="F82" i="14"/>
  <c r="F80" i="14"/>
  <c r="D20" i="14"/>
  <c r="F20" i="14"/>
  <c r="D89" i="14"/>
  <c r="F83" i="14"/>
  <c r="E63" i="14"/>
  <c r="E83" i="14"/>
  <c r="F77" i="14"/>
  <c r="F75" i="14"/>
  <c r="F53" i="14"/>
  <c r="F47" i="14"/>
  <c r="D34" i="14"/>
  <c r="E31" i="14"/>
  <c r="F73" i="14"/>
  <c r="E69" i="14"/>
  <c r="D21" i="14"/>
  <c r="E56" i="14"/>
  <c r="F50" i="14"/>
  <c r="D30" i="14"/>
  <c r="E27" i="14"/>
  <c r="D17" i="14"/>
  <c r="F17" i="14"/>
  <c r="D26" i="14"/>
  <c r="F26" i="14"/>
  <c r="D35" i="14"/>
  <c r="F28" i="14"/>
  <c r="D22" i="14"/>
  <c r="E28" i="14"/>
  <c r="F31" i="14"/>
  <c r="D18" i="14"/>
  <c r="E15" i="14"/>
  <c r="F69" i="14"/>
  <c r="D50" i="14"/>
  <c r="F45" i="14"/>
  <c r="D45" i="14"/>
  <c r="E16" i="14"/>
  <c r="F10" i="14"/>
  <c r="E10" i="14"/>
  <c r="D13" i="14"/>
  <c r="F9" i="14"/>
  <c r="F14" i="14"/>
  <c r="D10" i="14"/>
  <c r="D3" i="14"/>
  <c r="J5" i="23" a="1"/>
  <c r="J2" i="23" a="1"/>
  <c r="X2" i="23" l="1"/>
  <c r="X3" i="23" s="1"/>
  <c r="X4" i="23" s="1"/>
  <c r="J5" i="23"/>
  <c r="K5" i="23" s="1"/>
  <c r="J2" i="23"/>
  <c r="K2" i="23" s="1"/>
  <c r="U26" i="3" a="1"/>
  <c r="U26" i="3" s="1"/>
  <c r="G25" i="14" s="1"/>
  <c r="U32" i="3" a="1"/>
  <c r="U32" i="3" s="1"/>
  <c r="G31" i="14" s="1"/>
  <c r="U83" i="3" a="1"/>
  <c r="U83" i="3" s="1"/>
  <c r="G82" i="14" s="1"/>
  <c r="U63" i="3" a="1"/>
  <c r="U63" i="3" s="1"/>
  <c r="G62" i="14" s="1"/>
  <c r="U5" i="3" a="1"/>
  <c r="U5" i="3" s="1"/>
  <c r="U64" i="3" a="1"/>
  <c r="U64" i="3" s="1"/>
  <c r="G63" i="14" s="1"/>
  <c r="U11" i="3" a="1"/>
  <c r="U11" i="3" s="1"/>
  <c r="G10" i="14" s="1"/>
  <c r="U14" i="3" a="1"/>
  <c r="U14" i="3" s="1"/>
  <c r="G13" i="14" s="1"/>
  <c r="U87" i="3" a="1"/>
  <c r="U87" i="3" s="1"/>
  <c r="G86" i="14" s="1"/>
  <c r="U90" i="3" a="1"/>
  <c r="U90" i="3" s="1"/>
  <c r="G89" i="14" s="1"/>
  <c r="U10" i="3" a="1"/>
  <c r="U10" i="3" s="1"/>
  <c r="G9" i="14" s="1"/>
  <c r="U35" i="3" a="1"/>
  <c r="U35" i="3" s="1"/>
  <c r="G34" i="14" s="1"/>
  <c r="U98" i="3" a="1"/>
  <c r="U98" i="3" s="1"/>
  <c r="G97" i="14" s="1"/>
  <c r="U88" i="3" a="1"/>
  <c r="U88" i="3" s="1"/>
  <c r="G87" i="14" s="1"/>
  <c r="U36" i="3" a="1"/>
  <c r="U36" i="3" s="1"/>
  <c r="G35" i="14" s="1"/>
  <c r="U19" i="3" a="1"/>
  <c r="U19" i="3" s="1"/>
  <c r="G18" i="14" s="1"/>
  <c r="U40" i="3" a="1"/>
  <c r="U40" i="3" s="1"/>
  <c r="G39" i="14" s="1"/>
  <c r="U93" i="3" a="1"/>
  <c r="U93" i="3" s="1"/>
  <c r="G92" i="14" s="1"/>
  <c r="U91" i="3" a="1"/>
  <c r="U91" i="3" s="1"/>
  <c r="G90" i="14" s="1"/>
  <c r="U8" i="3" a="1"/>
  <c r="U8" i="3" s="1"/>
  <c r="U42" i="3" a="1"/>
  <c r="U42" i="3" s="1"/>
  <c r="G41" i="14" s="1"/>
  <c r="U30" i="3" a="1"/>
  <c r="U30" i="3" s="1"/>
  <c r="G29" i="14" s="1"/>
  <c r="U39" i="3" a="1"/>
  <c r="U39" i="3" s="1"/>
  <c r="G38" i="14" s="1"/>
  <c r="U73" i="3" a="1"/>
  <c r="U73" i="3" s="1"/>
  <c r="G72" i="14" s="1"/>
  <c r="U70" i="3" a="1"/>
  <c r="U70" i="3" s="1"/>
  <c r="G69" i="14" s="1"/>
  <c r="U101" i="3" a="1"/>
  <c r="U101" i="3" s="1"/>
  <c r="G100" i="14" s="1"/>
  <c r="U95" i="3" a="1"/>
  <c r="U95" i="3" s="1"/>
  <c r="G94" i="14" s="1"/>
  <c r="U57" i="3" a="1"/>
  <c r="U57" i="3" s="1"/>
  <c r="G56" i="14" s="1"/>
  <c r="U59" i="3" a="1"/>
  <c r="U59" i="3" s="1"/>
  <c r="G58" i="14" s="1"/>
  <c r="U56" i="3" a="1"/>
  <c r="U56" i="3" s="1"/>
  <c r="G55" i="14" s="1"/>
  <c r="U94" i="3" a="1"/>
  <c r="U94" i="3" s="1"/>
  <c r="G93" i="14" s="1"/>
  <c r="U22" i="3" a="1"/>
  <c r="U22" i="3" s="1"/>
  <c r="G21" i="14" s="1"/>
  <c r="U38" i="3" a="1"/>
  <c r="U38" i="3" s="1"/>
  <c r="G37" i="14" s="1"/>
  <c r="U92" i="3" a="1"/>
  <c r="U92" i="3" s="1"/>
  <c r="G91" i="14" s="1"/>
  <c r="U48" i="3" a="1"/>
  <c r="U48" i="3" s="1"/>
  <c r="G47" i="14" s="1"/>
  <c r="U85" i="3" a="1"/>
  <c r="U85" i="3" s="1"/>
  <c r="G84" i="14" s="1"/>
  <c r="U103" i="3" a="1"/>
  <c r="U103" i="3" s="1"/>
  <c r="G102" i="14" s="1"/>
  <c r="U51" i="3" a="1"/>
  <c r="U51" i="3" s="1"/>
  <c r="G50" i="14" s="1"/>
  <c r="U104" i="3" a="1"/>
  <c r="U104" i="3" s="1"/>
  <c r="G103" i="14" s="1"/>
  <c r="U84" i="3" a="1"/>
  <c r="U84" i="3" s="1"/>
  <c r="G83" i="14" s="1"/>
  <c r="U53" i="3" a="1"/>
  <c r="U53" i="3" s="1"/>
  <c r="G52" i="14" s="1"/>
  <c r="U23" i="3" a="1"/>
  <c r="U23" i="3" s="1"/>
  <c r="G22" i="14" s="1"/>
  <c r="U21" i="3" a="1"/>
  <c r="U21" i="3" s="1"/>
  <c r="G20" i="14" s="1"/>
  <c r="U31" i="3" a="1"/>
  <c r="U31" i="3" s="1"/>
  <c r="G30" i="14" s="1"/>
  <c r="U24" i="3" a="1"/>
  <c r="U24" i="3" s="1"/>
  <c r="G23" i="14" s="1"/>
  <c r="U47" i="3" a="1"/>
  <c r="U47" i="3" s="1"/>
  <c r="G46" i="14" s="1"/>
  <c r="U55" i="3" a="1"/>
  <c r="U55" i="3" s="1"/>
  <c r="G54" i="14" s="1"/>
  <c r="U102" i="3" a="1"/>
  <c r="U102" i="3" s="1"/>
  <c r="G101" i="14" s="1"/>
  <c r="U86" i="3" a="1"/>
  <c r="U86" i="3" s="1"/>
  <c r="G85" i="14" s="1"/>
  <c r="U4" i="3" a="1"/>
  <c r="U4" i="3" s="1"/>
  <c r="U46" i="3" a="1"/>
  <c r="U46" i="3" s="1"/>
  <c r="G45" i="14" s="1"/>
  <c r="U52" i="3" a="1"/>
  <c r="U52" i="3" s="1"/>
  <c r="G51" i="14" s="1"/>
  <c r="D27" i="14"/>
  <c r="U28" i="3" a="1"/>
  <c r="U28" i="3" s="1"/>
  <c r="G27" i="14" s="1"/>
  <c r="U72" i="3" a="1"/>
  <c r="U72" i="3" s="1"/>
  <c r="G71" i="14" s="1"/>
  <c r="U62" i="3" a="1"/>
  <c r="U62" i="3" s="1"/>
  <c r="G61" i="14" s="1"/>
  <c r="D69" i="14"/>
  <c r="U76" i="3" a="1"/>
  <c r="U76" i="3" s="1"/>
  <c r="G75" i="14" s="1"/>
  <c r="U15" i="3" a="1"/>
  <c r="U15" i="3" s="1"/>
  <c r="G14" i="14" s="1"/>
  <c r="D24" i="14"/>
  <c r="U25" i="3" a="1"/>
  <c r="U25" i="3" s="1"/>
  <c r="G24" i="14" s="1"/>
  <c r="D36" i="14"/>
  <c r="U37" i="3" a="1"/>
  <c r="U37" i="3" s="1"/>
  <c r="G36" i="14" s="1"/>
  <c r="U68" i="3" a="1"/>
  <c r="U68" i="3" s="1"/>
  <c r="G67" i="14" s="1"/>
  <c r="U58" i="3" a="1"/>
  <c r="U58" i="3" s="1"/>
  <c r="G57" i="14" s="1"/>
  <c r="U75" i="3" a="1"/>
  <c r="U75" i="3" s="1"/>
  <c r="G74" i="14" s="1"/>
  <c r="U69" i="3" a="1"/>
  <c r="U69" i="3" s="1"/>
  <c r="G68" i="14" s="1"/>
  <c r="D8" i="14"/>
  <c r="U9" i="3" a="1"/>
  <c r="U9" i="3" s="1"/>
  <c r="G8" i="14" s="1"/>
  <c r="D32" i="14"/>
  <c r="U33" i="3" a="1"/>
  <c r="U33" i="3" s="1"/>
  <c r="G32" i="14" s="1"/>
  <c r="U44" i="3" a="1"/>
  <c r="U44" i="3" s="1"/>
  <c r="G43" i="14" s="1"/>
  <c r="U60" i="3" a="1"/>
  <c r="U60" i="3" s="1"/>
  <c r="G59" i="14" s="1"/>
  <c r="D75" i="14"/>
  <c r="U3" i="3" a="1"/>
  <c r="U3" i="3" s="1"/>
  <c r="G2" i="14" s="1"/>
  <c r="U71" i="3" a="1"/>
  <c r="U71" i="3" s="1"/>
  <c r="G70" i="14" s="1"/>
  <c r="U6" i="3" a="1"/>
  <c r="U6" i="3" s="1"/>
  <c r="D16" i="14"/>
  <c r="U17" i="3" a="1"/>
  <c r="U17" i="3" s="1"/>
  <c r="G16" i="14" s="1"/>
  <c r="U49" i="3" a="1"/>
  <c r="U49" i="3" s="1"/>
  <c r="G48" i="14" s="1"/>
  <c r="U80" i="3" a="1"/>
  <c r="U80" i="3" s="1"/>
  <c r="G79" i="14" s="1"/>
  <c r="U78" i="3" a="1"/>
  <c r="U78" i="3" s="1"/>
  <c r="G77" i="14" s="1"/>
  <c r="U89" i="3" a="1"/>
  <c r="U89" i="3" s="1"/>
  <c r="G88" i="14" s="1"/>
  <c r="D78" i="14"/>
  <c r="U79" i="3" a="1"/>
  <c r="U79" i="3" s="1"/>
  <c r="G78" i="14" s="1"/>
  <c r="D72" i="14"/>
  <c r="U7" i="3" a="1"/>
  <c r="U7" i="3" s="1"/>
  <c r="D11" i="14"/>
  <c r="U12" i="3" a="1"/>
  <c r="U12" i="3" s="1"/>
  <c r="G11" i="14" s="1"/>
  <c r="U99" i="3" a="1"/>
  <c r="U99" i="3" s="1"/>
  <c r="G98" i="14" s="1"/>
  <c r="U54" i="3" a="1"/>
  <c r="U54" i="3" s="1"/>
  <c r="G53" i="14" s="1"/>
  <c r="D64" i="14"/>
  <c r="U65" i="3" a="1"/>
  <c r="U65" i="3" s="1"/>
  <c r="G64" i="14" s="1"/>
  <c r="D80" i="14"/>
  <c r="U81" i="3" a="1"/>
  <c r="U81" i="3" s="1"/>
  <c r="G80" i="14" s="1"/>
  <c r="D95" i="14"/>
  <c r="U96" i="3" a="1"/>
  <c r="U96" i="3" s="1"/>
  <c r="G95" i="14" s="1"/>
  <c r="D66" i="14"/>
  <c r="U67" i="3" a="1"/>
  <c r="U67" i="3" s="1"/>
  <c r="G66" i="14" s="1"/>
  <c r="D73" i="14"/>
  <c r="U74" i="3" a="1"/>
  <c r="U74" i="3" s="1"/>
  <c r="G73" i="14" s="1"/>
  <c r="D15" i="14"/>
  <c r="U16" i="3" a="1"/>
  <c r="U16" i="3" s="1"/>
  <c r="G15" i="14" s="1"/>
  <c r="D76" i="14"/>
  <c r="U77" i="3" a="1"/>
  <c r="U77" i="3" s="1"/>
  <c r="G76" i="14" s="1"/>
  <c r="U41" i="3" a="1"/>
  <c r="U41" i="3" s="1"/>
  <c r="G40" i="14" s="1"/>
  <c r="D19" i="14"/>
  <c r="U20" i="3" a="1"/>
  <c r="U20" i="3" s="1"/>
  <c r="G19" i="14" s="1"/>
  <c r="G60" i="14"/>
  <c r="G44" i="14"/>
  <c r="G99" i="14"/>
  <c r="G12" i="14"/>
  <c r="G28" i="14"/>
  <c r="G26" i="14"/>
  <c r="G42" i="14"/>
  <c r="G17" i="14"/>
  <c r="G49" i="14"/>
  <c r="G96" i="14"/>
  <c r="G33" i="14"/>
  <c r="G81" i="14"/>
  <c r="G65" i="14"/>
  <c r="E6" i="14"/>
  <c r="D5" i="14"/>
  <c r="F5" i="14"/>
  <c r="E7" i="14"/>
  <c r="D6" i="14"/>
  <c r="F6" i="14"/>
  <c r="E4" i="14"/>
  <c r="D7" i="14"/>
  <c r="F7" i="14"/>
  <c r="E5" i="14"/>
  <c r="D4" i="14"/>
  <c r="F4" i="14"/>
  <c r="F3" i="14"/>
  <c r="E3" i="14"/>
  <c r="G3" i="14" l="1"/>
  <c r="G6" i="14"/>
  <c r="G4" i="14"/>
  <c r="G7" i="14"/>
  <c r="G5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<sst xmlns="http://schemas.openxmlformats.org/spreadsheetml/2006/main" count="3386" uniqueCount="1016">
  <si>
    <t>Model</t>
  </si>
  <si>
    <t>Consignor</t>
  </si>
  <si>
    <t>user</t>
  </si>
  <si>
    <t>User</t>
  </si>
  <si>
    <t>address</t>
  </si>
  <si>
    <t>Address</t>
  </si>
  <si>
    <t>address2</t>
  </si>
  <si>
    <t>date</t>
  </si>
  <si>
    <t>city</t>
  </si>
  <si>
    <t>City</t>
  </si>
  <si>
    <t>state</t>
  </si>
  <si>
    <t>State</t>
  </si>
  <si>
    <t>zip</t>
  </si>
  <si>
    <t>Zip</t>
  </si>
  <si>
    <t>phone</t>
  </si>
  <si>
    <t>Phone</t>
  </si>
  <si>
    <t>tel</t>
  </si>
  <si>
    <t>waiver_date</t>
  </si>
  <si>
    <t>waiver_image</t>
  </si>
  <si>
    <t>Waiver</t>
  </si>
  <si>
    <t>img1</t>
  </si>
  <si>
    <t>image</t>
  </si>
  <si>
    <t>Image</t>
  </si>
  <si>
    <t>pid_type</t>
  </si>
  <si>
    <t>PIDType</t>
  </si>
  <si>
    <t>pid_image</t>
  </si>
  <si>
    <t>PID</t>
  </si>
  <si>
    <t>Employee</t>
  </si>
  <si>
    <t>title</t>
  </si>
  <si>
    <t>Title</t>
  </si>
  <si>
    <t>hourly_rate</t>
  </si>
  <si>
    <t>date_of_birth</t>
  </si>
  <si>
    <t>ice1_fname</t>
  </si>
  <si>
    <t>ice1_lname</t>
  </si>
  <si>
    <t>ice1_phone</t>
  </si>
  <si>
    <t>ice1_relationship</t>
  </si>
  <si>
    <t>Relationship</t>
  </si>
  <si>
    <t>ice2_fname</t>
  </si>
  <si>
    <t>ice2_lname</t>
  </si>
  <si>
    <t>ice2_phone</t>
  </si>
  <si>
    <t>ice2_relationship</t>
  </si>
  <si>
    <t>start_date</t>
  </si>
  <si>
    <t>end_date</t>
  </si>
  <si>
    <t>exit_reason</t>
  </si>
  <si>
    <t>Liquidator</t>
  </si>
  <si>
    <t>name</t>
  </si>
  <si>
    <t>Name</t>
  </si>
  <si>
    <t>description</t>
  </si>
  <si>
    <t>Description</t>
  </si>
  <si>
    <t>website</t>
  </si>
  <si>
    <t>Website</t>
  </si>
  <si>
    <t>contact_phone</t>
  </si>
  <si>
    <t>contact_email</t>
  </si>
  <si>
    <t>Email</t>
  </si>
  <si>
    <t>Order</t>
  </si>
  <si>
    <t>order_number</t>
  </si>
  <si>
    <t>purchase_date</t>
  </si>
  <si>
    <t>liquidator</t>
  </si>
  <si>
    <t>category</t>
  </si>
  <si>
    <t>Category</t>
  </si>
  <si>
    <t>item_count</t>
  </si>
  <si>
    <t>Items</t>
  </si>
  <si>
    <t>pallet_count</t>
  </si>
  <si>
    <t>Pallets</t>
  </si>
  <si>
    <t>sale_amount</t>
  </si>
  <si>
    <t>shipping_amount</t>
  </si>
  <si>
    <t>delivery_date</t>
  </si>
  <si>
    <t>accepted_by</t>
  </si>
  <si>
    <t>unloaded_by</t>
  </si>
  <si>
    <t>pod_image</t>
  </si>
  <si>
    <t>POD</t>
  </si>
  <si>
    <t>manifest_file</t>
  </si>
  <si>
    <t>file</t>
  </si>
  <si>
    <t>Shopper</t>
  </si>
  <si>
    <t>email_preferences</t>
  </si>
  <si>
    <t>Store</t>
  </si>
  <si>
    <t>general_manager</t>
  </si>
  <si>
    <t>Location</t>
  </si>
  <si>
    <t>email</t>
  </si>
  <si>
    <t>first_name</t>
  </si>
  <si>
    <t>last_name</t>
  </si>
  <si>
    <t>Active</t>
  </si>
  <si>
    <t>Staff</t>
  </si>
  <si>
    <t>Superuser</t>
  </si>
  <si>
    <t>Username</t>
  </si>
  <si>
    <t>Dropoff</t>
  </si>
  <si>
    <t>employee</t>
  </si>
  <si>
    <t>consignor</t>
  </si>
  <si>
    <t>Date</t>
  </si>
  <si>
    <t>comments</t>
  </si>
  <si>
    <t>Comments</t>
  </si>
  <si>
    <t>agreement_image</t>
  </si>
  <si>
    <t>Agreement</t>
  </si>
  <si>
    <t>offer_amount</t>
  </si>
  <si>
    <t>Department</t>
  </si>
  <si>
    <t>store</t>
  </si>
  <si>
    <t>department_manager</t>
  </si>
  <si>
    <t>Position</t>
  </si>
  <si>
    <t>department</t>
  </si>
  <si>
    <t>Section</t>
  </si>
  <si>
    <t>0</t>
  </si>
  <si>
    <t>Order_Line</t>
  </si>
  <si>
    <t>order</t>
  </si>
  <si>
    <t>brand</t>
  </si>
  <si>
    <t>Brand</t>
  </si>
  <si>
    <t>Category 1</t>
  </si>
  <si>
    <t>Category 2</t>
  </si>
  <si>
    <t>Quantity</t>
  </si>
  <si>
    <t>Unit Retail</t>
  </si>
  <si>
    <t>Ext Retail</t>
  </si>
  <si>
    <t>Fulfilled</t>
  </si>
  <si>
    <t>Delivered</t>
  </si>
  <si>
    <t>Process Manifest</t>
  </si>
  <si>
    <t>{address}</t>
  </si>
  <si>
    <t>{address2}</t>
  </si>
  <si>
    <t>{city}</t>
  </si>
  <si>
    <t>{state}</t>
  </si>
  <si>
    <t>{zip}</t>
  </si>
  <si>
    <t>{phone}</t>
  </si>
  <si>
    <t>{waiver_date}</t>
  </si>
  <si>
    <t>{waiver_image}</t>
  </si>
  <si>
    <t>{image}</t>
  </si>
  <si>
    <t>{pid_type}</t>
  </si>
  <si>
    <t>{pid_image}</t>
  </si>
  <si>
    <t>{title}</t>
  </si>
  <si>
    <t>{hourly_rate}</t>
  </si>
  <si>
    <t>{date_of_birth}</t>
  </si>
  <si>
    <t>{ice1_fname}</t>
  </si>
  <si>
    <t>{ice1_lname}</t>
  </si>
  <si>
    <t>{ice1_phone}</t>
  </si>
  <si>
    <t>{ice1_relationship}</t>
  </si>
  <si>
    <t>{ice2_fname}</t>
  </si>
  <si>
    <t>{ice2_lname}</t>
  </si>
  <si>
    <t>{ice2_phone}</t>
  </si>
  <si>
    <t>{ice2_relationship}</t>
  </si>
  <si>
    <t>{start_date}</t>
  </si>
  <si>
    <t>{end_date}</t>
  </si>
  <si>
    <t>{exit_reason}</t>
  </si>
  <si>
    <t>{name}</t>
  </si>
  <si>
    <t>{description}</t>
  </si>
  <si>
    <t>{website}</t>
  </si>
  <si>
    <t>{contact_phone}</t>
  </si>
  <si>
    <t>{contact_email}</t>
  </si>
  <si>
    <t>{order_number}</t>
  </si>
  <si>
    <t>{purchase_date}</t>
  </si>
  <si>
    <t>{liquidator_id}</t>
  </si>
  <si>
    <t>{category}</t>
  </si>
  <si>
    <t>{item_count}</t>
  </si>
  <si>
    <t>{pallet_count}</t>
  </si>
  <si>
    <t>{sale_amount}</t>
  </si>
  <si>
    <t>{shipping_amount}</t>
  </si>
  <si>
    <t>{delivery_date}</t>
  </si>
  <si>
    <t>{accepted_by_id}</t>
  </si>
  <si>
    <t>{unloaded_by_id}</t>
  </si>
  <si>
    <t>{pod_image}</t>
  </si>
  <si>
    <t>{email_preferences}</t>
  </si>
  <si>
    <t>{general_manager_id}</t>
  </si>
  <si>
    <t>{email}</t>
  </si>
  <si>
    <t>{first_name}</t>
  </si>
  <si>
    <t>{last_name}</t>
  </si>
  <si>
    <t>{is_active}</t>
  </si>
  <si>
    <t>{date_joined}</t>
  </si>
  <si>
    <t>{last_login}</t>
  </si>
  <si>
    <t>{is_staff}</t>
  </si>
  <si>
    <t>{is_superuser}</t>
  </si>
  <si>
    <t>{username}</t>
  </si>
  <si>
    <t>{employee_id}</t>
  </si>
  <si>
    <t>{consignor_id}</t>
  </si>
  <si>
    <t>{date}</t>
  </si>
  <si>
    <t>{comments}</t>
  </si>
  <si>
    <t>{agreement_image}</t>
  </si>
  <si>
    <t>{offer_amount}</t>
  </si>
  <si>
    <t>{store_id}</t>
  </si>
  <si>
    <t>{department_manager_id}</t>
  </si>
  <si>
    <t>{department_id}</t>
  </si>
  <si>
    <t>{deparment}</t>
  </si>
  <si>
    <t>{brand}</t>
  </si>
  <si>
    <t>{category_1}</t>
  </si>
  <si>
    <t>{category_2}</t>
  </si>
  <si>
    <t>{quantity}</t>
  </si>
  <si>
    <t>{unit_retail}</t>
  </si>
  <si>
    <t>{ext_retail}</t>
  </si>
  <si>
    <t>{fulfilled}</t>
  </si>
  <si>
    <t>{delivered}</t>
  </si>
  <si>
    <t>manifest-process.html?pk={id}</t>
  </si>
  <si>
    <t>{manifest_file};ni ni-single-copy-04; Update</t>
  </si>
  <si>
    <t>type</t>
  </si>
  <si>
    <t>args</t>
  </si>
  <si>
    <t>kwargs</t>
  </si>
  <si>
    <t>models.OneToOneField</t>
  </si>
  <si>
    <t>models.CharField</t>
  </si>
  <si>
    <t>max_length</t>
  </si>
  <si>
    <t>''</t>
  </si>
  <si>
    <t>blank</t>
  </si>
  <si>
    <t>models.DateField</t>
  </si>
  <si>
    <t>null</t>
  </si>
  <si>
    <t>None</t>
  </si>
  <si>
    <t>models.DecimalField</t>
  </si>
  <si>
    <t>max_digits</t>
  </si>
  <si>
    <t>models.ImageField</t>
  </si>
  <si>
    <t>upload_to</t>
  </si>
  <si>
    <t>on_delete</t>
  </si>
  <si>
    <t>primary_key</t>
  </si>
  <si>
    <t>default</t>
  </si>
  <si>
    <t>decimal_places</t>
  </si>
  <si>
    <t>EMP_IMG</t>
  </si>
  <si>
    <t xml:space="preserve"> </t>
  </si>
  <si>
    <t>Code</t>
  </si>
  <si>
    <t>money</t>
  </si>
  <si>
    <t>img_emp</t>
  </si>
  <si>
    <t>user_prof</t>
  </si>
  <si>
    <t>template</t>
  </si>
  <si>
    <t>True</t>
  </si>
  <si>
    <t>char_100</t>
  </si>
  <si>
    <t>SHP_WAV</t>
  </si>
  <si>
    <t>CON_WAV</t>
  </si>
  <si>
    <t>CON_IMG</t>
  </si>
  <si>
    <t>CON_PID</t>
  </si>
  <si>
    <t>ORD_IMG</t>
  </si>
  <si>
    <t>ORD_MAN</t>
  </si>
  <si>
    <t>ORD_POD</t>
  </si>
  <si>
    <t>DRP_AGR</t>
  </si>
  <si>
    <t>img_con</t>
  </si>
  <si>
    <t>img_ord</t>
  </si>
  <si>
    <t>img_shp_wav</t>
  </si>
  <si>
    <t>img_ord_pod</t>
  </si>
  <si>
    <t>img_drp_agr</t>
  </si>
  <si>
    <t>img_con_wav</t>
  </si>
  <si>
    <t>img_con_pid</t>
  </si>
  <si>
    <t>file_ord_man</t>
  </si>
  <si>
    <t>choices</t>
  </si>
  <si>
    <t>EMAIL_PREFERENCES_LIST</t>
  </si>
  <si>
    <t>choice_email_pref</t>
  </si>
  <si>
    <t>choice_pid</t>
  </si>
  <si>
    <t>PID_LIST</t>
  </si>
  <si>
    <t>ORDER_CATEGORY_LIST</t>
  </si>
  <si>
    <t>choice_ord_cat</t>
  </si>
  <si>
    <t>models.SET_NULL</t>
  </si>
  <si>
    <t>related_name</t>
  </si>
  <si>
    <t>'accepted_orders'</t>
  </si>
  <si>
    <t>'unloaded_orders'</t>
  </si>
  <si>
    <t>fky_emp</t>
  </si>
  <si>
    <t>models.ForeignKey</t>
  </si>
  <si>
    <t>fky_str</t>
  </si>
  <si>
    <t>fky_dpt</t>
  </si>
  <si>
    <t>fky_liq</t>
  </si>
  <si>
    <t>fky_emp_acc</t>
  </si>
  <si>
    <t>fky_emp_unl</t>
  </si>
  <si>
    <t>int</t>
  </si>
  <si>
    <t>False</t>
  </si>
  <si>
    <t>models.IntegerField</t>
  </si>
  <si>
    <t>fky_ord</t>
  </si>
  <si>
    <t>static_price</t>
  </si>
  <si>
    <t>condition</t>
  </si>
  <si>
    <t>tested</t>
  </si>
  <si>
    <t>tags</t>
  </si>
  <si>
    <t>Item</t>
  </si>
  <si>
    <t>dropoff</t>
  </si>
  <si>
    <t>fky_con</t>
  </si>
  <si>
    <t>fky_ord_lin</t>
  </si>
  <si>
    <t>fky_drp</t>
  </si>
  <si>
    <t>fky_drp_lin</t>
  </si>
  <si>
    <t>Dropoff_Line</t>
  </si>
  <si>
    <t>section</t>
  </si>
  <si>
    <t>fky_sec</t>
  </si>
  <si>
    <t>char_005</t>
  </si>
  <si>
    <t>char_002</t>
  </si>
  <si>
    <t>char_030</t>
  </si>
  <si>
    <t>zero_date</t>
  </si>
  <si>
    <t>CONDITION_LIST</t>
  </si>
  <si>
    <t>choice_cond</t>
  </si>
  <si>
    <t>img_itm</t>
  </si>
  <si>
    <t>ITM_IMG</t>
  </si>
  <si>
    <t>bool</t>
  </si>
  <si>
    <t>choice_tested</t>
  </si>
  <si>
    <t>TESTED_LIST</t>
  </si>
  <si>
    <t>status_change</t>
  </si>
  <si>
    <t>STATUS_CHANGE_LIST</t>
  </si>
  <si>
    <t>choice_itm_status</t>
  </si>
  <si>
    <t>char_500</t>
  </si>
  <si>
    <t>price_code</t>
  </si>
  <si>
    <t>expected_price</t>
  </si>
  <si>
    <t>created_date</t>
  </si>
  <si>
    <t>change_date</t>
  </si>
  <si>
    <t>char_999</t>
  </si>
  <si>
    <t>models.FileField</t>
  </si>
  <si>
    <t>Order_Images</t>
  </si>
  <si>
    <t>Item_Images</t>
  </si>
  <si>
    <t>item</t>
  </si>
  <si>
    <t>fky_itm</t>
  </si>
  <si>
    <t>models.BooleanField</t>
  </si>
  <si>
    <t>Label</t>
  </si>
  <si>
    <t/>
  </si>
  <si>
    <t>Address 2</t>
  </si>
  <si>
    <t>Waiver Date</t>
  </si>
  <si>
    <t>Managed By</t>
  </si>
  <si>
    <t>Offer Amount</t>
  </si>
  <si>
    <t>Hourly Rate</t>
  </si>
  <si>
    <t>Date Of Birth</t>
  </si>
  <si>
    <t>First Name</t>
  </si>
  <si>
    <t>Last Name</t>
  </si>
  <si>
    <t>Start Date</t>
  </si>
  <si>
    <t>End Date</t>
  </si>
  <si>
    <t>Exit Reason</t>
  </si>
  <si>
    <t>Order Number</t>
  </si>
  <si>
    <t>Purchase Date</t>
  </si>
  <si>
    <t>Item Count</t>
  </si>
  <si>
    <t>Pallet Count</t>
  </si>
  <si>
    <t>Sale Amount</t>
  </si>
  <si>
    <t>Shipping Amount</t>
  </si>
  <si>
    <t>Delivery Date</t>
  </si>
  <si>
    <t>Accepted By</t>
  </si>
  <si>
    <t>Unloaded By</t>
  </si>
  <si>
    <t>Manifest File</t>
  </si>
  <si>
    <t>Email Preferences</t>
  </si>
  <si>
    <t>General Manager</t>
  </si>
  <si>
    <t>PID Type</t>
  </si>
  <si>
    <t>Date Joined</t>
  </si>
  <si>
    <t>Last Login</t>
  </si>
  <si>
    <t>label</t>
  </si>
  <si>
    <t>{section_id}</t>
  </si>
  <si>
    <t>{label}</t>
  </si>
  <si>
    <t>Type</t>
  </si>
  <si>
    <t>URL</t>
  </si>
  <si>
    <t>Template</t>
  </si>
  <si>
    <t>Page</t>
  </si>
  <si>
    <t>form</t>
  </si>
  <si>
    <t>Form</t>
  </si>
  <si>
    <t>Size</t>
  </si>
  <si>
    <t>Blank</t>
  </si>
  <si>
    <t>Default</t>
  </si>
  <si>
    <t>user_id</t>
  </si>
  <si>
    <t>String</t>
  </si>
  <si>
    <t>ExtendedUser</t>
  </si>
  <si>
    <t>date_auto</t>
  </si>
  <si>
    <t>date_start</t>
  </si>
  <si>
    <t>date_end</t>
  </si>
  <si>
    <t>date.today</t>
  </si>
  <si>
    <t>DEFAULT_END_DATE</t>
  </si>
  <si>
    <t>DEFAULT_START_DATE</t>
  </si>
  <si>
    <t>st</t>
  </si>
  <si>
    <t>ST_LIST</t>
  </si>
  <si>
    <t>STATE_LIST</t>
  </si>
  <si>
    <t>models.CASCADE</t>
  </si>
  <si>
    <t>{self.title}|{self.user}</t>
  </si>
  <si>
    <t>{self.user}</t>
  </si>
  <si>
    <t>{self.name}</t>
  </si>
  <si>
    <t>#{self.order_number}</t>
  </si>
  <si>
    <t>(Drop {self.id}) {self.employee}|{self.comments[:50]}</t>
  </si>
  <si>
    <t>{self.id} {self.location}|{self.description[:50]}</t>
  </si>
  <si>
    <t>{STR_FULL_NM(self.base_user)} ({self.base_user.username})</t>
  </si>
  <si>
    <t>Extends</t>
  </si>
  <si>
    <t>DepartmentForm</t>
  </si>
  <si>
    <t>ConsignorForm</t>
  </si>
  <si>
    <t>DropoffForm</t>
  </si>
  <si>
    <t>EmployeeForm</t>
  </si>
  <si>
    <t>LiquidatorForm</t>
  </si>
  <si>
    <t>LocationForm</t>
  </si>
  <si>
    <t>OrderForm</t>
  </si>
  <si>
    <t>PositionForm</t>
  </si>
  <si>
    <t>SectionForm</t>
  </si>
  <si>
    <t>ShopperForm</t>
  </si>
  <si>
    <t>StoreForm</t>
  </si>
  <si>
    <t>UserForm</t>
  </si>
  <si>
    <t>Class</t>
  </si>
  <si>
    <t>Attrs</t>
  </si>
  <si>
    <t>form-control</t>
  </si>
  <si>
    <t>chk</t>
  </si>
  <si>
    <t>-</t>
  </si>
  <si>
    <t>Input_Type</t>
  </si>
  <si>
    <t>widgets/switch.html</t>
  </si>
  <si>
    <t>widgets/image_input.html</t>
  </si>
  <si>
    <t>widgets/phone.html</t>
  </si>
  <si>
    <t>Heading</t>
  </si>
  <si>
    <t>Order Details</t>
  </si>
  <si>
    <t>Emergency Contact 1</t>
  </si>
  <si>
    <t>Emergency Contact 2</t>
  </si>
  <si>
    <t>Delivery Details</t>
  </si>
  <si>
    <t>home/base-custom.html</t>
  </si>
  <si>
    <t>SectionTable</t>
  </si>
  <si>
    <t>ConsignorTable</t>
  </si>
  <si>
    <t>DepartmentTable</t>
  </si>
  <si>
    <t>DropoffTable</t>
  </si>
  <si>
    <t>EmployeeTable</t>
  </si>
  <si>
    <t>LiquidatorTable</t>
  </si>
  <si>
    <t>OrderTable</t>
  </si>
  <si>
    <t>Order_LineTable</t>
  </si>
  <si>
    <t>PositionTable</t>
  </si>
  <si>
    <t>ShopperTable</t>
  </si>
  <si>
    <t>StoreTable</t>
  </si>
  <si>
    <t>UserTable</t>
  </si>
  <si>
    <t>LocationTable</t>
  </si>
  <si>
    <t>forms/single-form.html</t>
  </si>
  <si>
    <t>Header</t>
  </si>
  <si>
    <t>SubHeader</t>
  </si>
  <si>
    <t>BasicForm</t>
  </si>
  <si>
    <t>pk</t>
  </si>
  <si>
    <t>Edit</t>
  </si>
  <si>
    <t>Add Section</t>
  </si>
  <si>
    <t>AddStore</t>
  </si>
  <si>
    <t>Add Store</t>
  </si>
  <si>
    <t>Dashboard</t>
  </si>
  <si>
    <t>Add</t>
  </si>
  <si>
    <t>xuser_prof</t>
  </si>
  <si>
    <t>base_user</t>
  </si>
  <si>
    <t>fky_emp_req</t>
  </si>
  <si>
    <t>Table</t>
  </si>
  <si>
    <t>tables/view-table.html</t>
  </si>
  <si>
    <t>EditStore</t>
  </si>
  <si>
    <t>Edit Store</t>
  </si>
  <si>
    <t>EditStore?pk={id}</t>
  </si>
  <si>
    <t>ItemForm</t>
  </si>
  <si>
    <t>ViewLiquidators</t>
  </si>
  <si>
    <t>ViewStores</t>
  </si>
  <si>
    <t>ViewDepartments</t>
  </si>
  <si>
    <t>ViewSections</t>
  </si>
  <si>
    <t>ViewLocations</t>
  </si>
  <si>
    <t>ViewPositions</t>
  </si>
  <si>
    <t>ViewDropoffs</t>
  </si>
  <si>
    <t>ViewOrders</t>
  </si>
  <si>
    <t>ViewItems</t>
  </si>
  <si>
    <t>EditConsinor?pk={user_id}</t>
  </si>
  <si>
    <t>EditDepartment?pk={id}</t>
  </si>
  <si>
    <t>EditDropoff?pk={id}</t>
  </si>
  <si>
    <t>View Liquidators</t>
  </si>
  <si>
    <t>View Stores</t>
  </si>
  <si>
    <t>View Departments</t>
  </si>
  <si>
    <t>View Sections</t>
  </si>
  <si>
    <t>View Locations</t>
  </si>
  <si>
    <t>View Positions</t>
  </si>
  <si>
    <t>View Dropoffs</t>
  </si>
  <si>
    <t>View Orders</t>
  </si>
  <si>
    <t>View Items</t>
  </si>
  <si>
    <t>EditLiquidator</t>
  </si>
  <si>
    <t>Edit Liquidator</t>
  </si>
  <si>
    <t>EditDepartment</t>
  </si>
  <si>
    <t>Edit Department</t>
  </si>
  <si>
    <t>EditSection</t>
  </si>
  <si>
    <t>Edit Section</t>
  </si>
  <si>
    <t>EditLocation</t>
  </si>
  <si>
    <t>Edit Location</t>
  </si>
  <si>
    <t>EditPosition</t>
  </si>
  <si>
    <t>Edit Position</t>
  </si>
  <si>
    <t>EditDropoff</t>
  </si>
  <si>
    <t>Edit Dropoff</t>
  </si>
  <si>
    <t>EditOrder</t>
  </si>
  <si>
    <t>Edit Order</t>
  </si>
  <si>
    <t>EditItem</t>
  </si>
  <si>
    <t>AddLiquidator</t>
  </si>
  <si>
    <t>Add Liquidator</t>
  </si>
  <si>
    <t>AddDepartment</t>
  </si>
  <si>
    <t>Add Department</t>
  </si>
  <si>
    <t>AddSection</t>
  </si>
  <si>
    <t>AddLocation</t>
  </si>
  <si>
    <t>Add Location</t>
  </si>
  <si>
    <t>AddPosition</t>
  </si>
  <si>
    <t>Add Position</t>
  </si>
  <si>
    <t>AddDropoff</t>
  </si>
  <si>
    <t>Add Dropoff</t>
  </si>
  <si>
    <t>AddOrder</t>
  </si>
  <si>
    <t>Add Order</t>
  </si>
  <si>
    <t>AddItem</t>
  </si>
  <si>
    <t>Add Item</t>
  </si>
  <si>
    <t>Departments</t>
  </si>
  <si>
    <t>Liquidators</t>
  </si>
  <si>
    <t>Locations</t>
  </si>
  <si>
    <t>Orders</t>
  </si>
  <si>
    <t>Positions</t>
  </si>
  <si>
    <t>Sections</t>
  </si>
  <si>
    <t>Stores</t>
  </si>
  <si>
    <t>EditLiquidatorForm</t>
  </si>
  <si>
    <t>EditStoreForm</t>
  </si>
  <si>
    <t>EditDepartmentForm</t>
  </si>
  <si>
    <t>EditSectionForm</t>
  </si>
  <si>
    <t>EditLocationForm</t>
  </si>
  <si>
    <t>EditPositionForm</t>
  </si>
  <si>
    <t>EditDropoffForm</t>
  </si>
  <si>
    <t>EditOrderForm</t>
  </si>
  <si>
    <t>EditItemForm</t>
  </si>
  <si>
    <t>AddLiquidatorForm</t>
  </si>
  <si>
    <t>AddStoreForm</t>
  </si>
  <si>
    <t>AddDepartmentForm</t>
  </si>
  <si>
    <t>AddSectionForm</t>
  </si>
  <si>
    <t>AddLocationForm</t>
  </si>
  <si>
    <t>AddPositionForm</t>
  </si>
  <si>
    <t>AddDropoffForm</t>
  </si>
  <si>
    <t>AddOrderForm</t>
  </si>
  <si>
    <t>EditEmployee?pk={user_id}</t>
  </si>
  <si>
    <t>EditLiquidator?pk={id}</t>
  </si>
  <si>
    <t>EditLocation?pk={id}</t>
  </si>
  <si>
    <t>EditPosition?pk={id}</t>
  </si>
  <si>
    <t>EditOrder?pk={id}</t>
  </si>
  <si>
    <t>Menu</t>
  </si>
  <si>
    <t>Home</t>
  </si>
  <si>
    <t>Profile</t>
  </si>
  <si>
    <t>TimeClock</t>
  </si>
  <si>
    <t>Calendar</t>
  </si>
  <si>
    <t>Operations</t>
  </si>
  <si>
    <t>Inventory</t>
  </si>
  <si>
    <t>DropOff</t>
  </si>
  <si>
    <t>View Inventory</t>
  </si>
  <si>
    <t>Management</t>
  </si>
  <si>
    <t>Employees</t>
  </si>
  <si>
    <t>Consignors</t>
  </si>
  <si>
    <t>Schedule</t>
  </si>
  <si>
    <t>Vacation</t>
  </si>
  <si>
    <t>Database</t>
  </si>
  <si>
    <t>View Schedules</t>
  </si>
  <si>
    <t>View Drawers</t>
  </si>
  <si>
    <t>View DropOffs</t>
  </si>
  <si>
    <t>View Employees</t>
  </si>
  <si>
    <t>View Consignors</t>
  </si>
  <si>
    <t>View Vacation</t>
  </si>
  <si>
    <t>Drawers</t>
  </si>
  <si>
    <t>V</t>
  </si>
  <si>
    <t>N</t>
  </si>
  <si>
    <t>Text</t>
  </si>
  <si>
    <t>SubMenu</t>
  </si>
  <si>
    <t>Icon</t>
  </si>
  <si>
    <t>ItemTable</t>
  </si>
  <si>
    <t>fas fa-database</t>
  </si>
  <si>
    <t>fas fa-chess</t>
  </si>
  <si>
    <t>fas fa-business-time</t>
  </si>
  <si>
    <t>fas fa-couch</t>
  </si>
  <si>
    <t>Head</t>
  </si>
  <si>
    <t>text-center</t>
  </si>
  <si>
    <t>text-left</t>
  </si>
  <si>
    <t>Delete</t>
  </si>
  <si>
    <t>EditItem?pk={id}</t>
  </si>
  <si>
    <t>EditSection?pk={id}</t>
  </si>
  <si>
    <t>yes</t>
  </si>
  <si>
    <t>({STR_LOC_2(self)}) {self.name}|{STR_FULL_NM(self.general_manager.user.base_user) if self.general_manager else ""}</t>
  </si>
  <si>
    <t>({self.store.name}) {self.name}|{STR_FULL_NM(self.department_manager.user.base_user) if self.department_manager else ""}</t>
  </si>
  <si>
    <t>({self.store.name if self.store else ""}) {self.name}</t>
  </si>
  <si>
    <t>{self.section if self.section else ""} : {self.label}</t>
  </si>
  <si>
    <t>({self.department.name if self.department else ""}) {self.name}</t>
  </si>
  <si>
    <t>forms/pill-forms.html</t>
  </si>
  <si>
    <t>ProfileForm</t>
  </si>
  <si>
    <t>MyProfile</t>
  </si>
  <si>
    <t>My Profile</t>
  </si>
  <si>
    <t>PhoneNumberField</t>
  </si>
  <si>
    <t>region</t>
  </si>
  <si>
    <t>'US'</t>
  </si>
  <si>
    <t>SubHeading</t>
  </si>
  <si>
    <t>Employee Contact</t>
  </si>
  <si>
    <t>Position Details</t>
  </si>
  <si>
    <t>{object}</t>
  </si>
  <si>
    <t>EditTable?pk={id}</t>
  </si>
  <si>
    <t>EditUser?pk={id}</t>
  </si>
  <si>
    <t>EditShopper?pk={user_id}</t>
  </si>
  <si>
    <t>Update</t>
  </si>
  <si>
    <t>file_cust</t>
  </si>
  <si>
    <t>widgets/file_input.html</t>
  </si>
  <si>
    <t>{</t>
  </si>
  <si>
    <t>`</t>
  </si>
  <si>
    <t>~</t>
  </si>
  <si>
    <t>!</t>
  </si>
  <si>
    <t>@</t>
  </si>
  <si>
    <t>#</t>
  </si>
  <si>
    <t>$</t>
  </si>
  <si>
    <t>%</t>
  </si>
  <si>
    <t>^</t>
  </si>
  <si>
    <t>&amp;</t>
  </si>
  <si>
    <t>*</t>
  </si>
  <si>
    <t>(</t>
  </si>
  <si>
    <t>)</t>
  </si>
  <si>
    <t>_</t>
  </si>
  <si>
    <t>+</t>
  </si>
  <si>
    <t>=</t>
  </si>
  <si>
    <t>}</t>
  </si>
  <si>
    <t>;</t>
  </si>
  <si>
    <t>&lt;</t>
  </si>
  <si>
    <t>&gt;</t>
  </si>
  <si>
    <t>?</t>
  </si>
  <si>
    <t>.</t>
  </si>
  <si>
    <t>/</t>
  </si>
  <si>
    <t>'</t>
  </si>
  <si>
    <t>:</t>
  </si>
  <si>
    <t>\</t>
  </si>
  <si>
    <t>|</t>
  </si>
  <si>
    <t>[</t>
  </si>
  <si>
    <t>]</t>
  </si>
  <si>
    <t>"</t>
  </si>
  <si>
    <t>,</t>
  </si>
  <si>
    <t>GRAVE</t>
  </si>
  <si>
    <t>ACCENT</t>
  </si>
  <si>
    <t>MARK</t>
  </si>
  <si>
    <t>AT</t>
  </si>
  <si>
    <t>SIGN</t>
  </si>
  <si>
    <t>LEFT</t>
  </si>
  <si>
    <t>RIGHT</t>
  </si>
  <si>
    <t>LINE</t>
  </si>
  <si>
    <t>PLUS</t>
  </si>
  <si>
    <t>MINUS</t>
  </si>
  <si>
    <t>CURLY</t>
  </si>
  <si>
    <t>BRACKET</t>
  </si>
  <si>
    <t>SQUARE</t>
  </si>
  <si>
    <t>REVERSE</t>
  </si>
  <si>
    <t>SEMI</t>
  </si>
  <si>
    <t>LESS</t>
  </si>
  <si>
    <t>THAN</t>
  </si>
  <si>
    <t>GREATER</t>
  </si>
  <si>
    <t>FULL</t>
  </si>
  <si>
    <t>A</t>
  </si>
  <si>
    <t>MPER</t>
  </si>
  <si>
    <t>SAND</t>
  </si>
  <si>
    <t>STE</t>
  </si>
  <si>
    <t>RISK</t>
  </si>
  <si>
    <t>POS</t>
  </si>
  <si>
    <t>TROPHE</t>
  </si>
  <si>
    <t>PER</t>
  </si>
  <si>
    <t>CENT</t>
  </si>
  <si>
    <t>CO</t>
  </si>
  <si>
    <t>LO</t>
  </si>
  <si>
    <t>QUO</t>
  </si>
  <si>
    <t>TATION</t>
  </si>
  <si>
    <t>QUE</t>
  </si>
  <si>
    <t>STION</t>
  </si>
  <si>
    <t>MM</t>
  </si>
  <si>
    <t>CIAL</t>
  </si>
  <si>
    <t>COMMER</t>
  </si>
  <si>
    <t>TI</t>
  </si>
  <si>
    <t>L</t>
  </si>
  <si>
    <t>DE</t>
  </si>
  <si>
    <t>E</t>
  </si>
  <si>
    <t>XCLAMATION</t>
  </si>
  <si>
    <t>NUM</t>
  </si>
  <si>
    <t>BER</t>
  </si>
  <si>
    <t>DOL</t>
  </si>
  <si>
    <t>LAR</t>
  </si>
  <si>
    <t>PAREN</t>
  </si>
  <si>
    <t>THESIS</t>
  </si>
  <si>
    <t>DUS</t>
  </si>
  <si>
    <t>TOP</t>
  </si>
  <si>
    <t>SO</t>
  </si>
  <si>
    <t>LI</t>
  </si>
  <si>
    <t>S</t>
  </si>
  <si>
    <t>CIRCUM</t>
  </si>
  <si>
    <t>FLEX</t>
  </si>
  <si>
    <t>LUS</t>
  </si>
  <si>
    <t>AC</t>
  </si>
  <si>
    <t>OW</t>
  </si>
  <si>
    <t>HY</t>
  </si>
  <si>
    <t>PHEN</t>
  </si>
  <si>
    <t>QUALS</t>
  </si>
  <si>
    <t>VER</t>
  </si>
  <si>
    <t>TICAL</t>
  </si>
  <si>
    <t>SOLI</t>
  </si>
  <si>
    <t>COLO</t>
  </si>
  <si>
    <t>Char</t>
  </si>
  <si>
    <t>Code1</t>
  </si>
  <si>
    <t>Code2</t>
  </si>
  <si>
    <t>Code3</t>
  </si>
  <si>
    <t>PyCode</t>
  </si>
  <si>
    <t>{user_id}</t>
  </si>
  <si>
    <t>-AMS</t>
  </si>
  <si>
    <t>-ASR</t>
  </si>
  <si>
    <t>-APT</t>
  </si>
  <si>
    <t>-CCA</t>
  </si>
  <si>
    <t>-PCS</t>
  </si>
  <si>
    <t>-CFA</t>
  </si>
  <si>
    <t>-PLS</t>
  </si>
  <si>
    <t>-CLN</t>
  </si>
  <si>
    <t>-QTM</t>
  </si>
  <si>
    <t>-QSM</t>
  </si>
  <si>
    <t>-CMA</t>
  </si>
  <si>
    <t>-GAC</t>
  </si>
  <si>
    <t>-TLD</t>
  </si>
  <si>
    <t>-EXM</t>
  </si>
  <si>
    <t>-NBS</t>
  </si>
  <si>
    <t>-DLS</t>
  </si>
  <si>
    <t>-LPT</t>
  </si>
  <si>
    <t>-RPT</t>
  </si>
  <si>
    <t>-LOL</t>
  </si>
  <si>
    <t>-HPM</t>
  </si>
  <si>
    <t>-EQS</t>
  </si>
  <si>
    <t>-LCB</t>
  </si>
  <si>
    <t>-RCB</t>
  </si>
  <si>
    <t>-VTL</t>
  </si>
  <si>
    <t>-LSB</t>
  </si>
  <si>
    <t>-RSB</t>
  </si>
  <si>
    <t>-RSD</t>
  </si>
  <si>
    <t>-SCN</t>
  </si>
  <si>
    <t>-LTS</t>
  </si>
  <si>
    <t>-GTS</t>
  </si>
  <si>
    <t>-FST</t>
  </si>
  <si>
    <t>-SLD</t>
  </si>
  <si>
    <t>toSlug</t>
  </si>
  <si>
    <t>unSlug</t>
  </si>
  <si>
    <t>slug</t>
  </si>
  <si>
    <t>-LCBuser-LOLid-RCB</t>
  </si>
  <si>
    <t>K</t>
  </si>
  <si>
    <t>{cur_user.pk}</t>
  </si>
  <si>
    <t>pos</t>
  </si>
  <si>
    <t>{x}</t>
  </si>
  <si>
    <t>{y}</t>
  </si>
  <si>
    <t> </t>
  </si>
  <si>
    <t>request.user</t>
  </si>
  <si>
    <t>MODELS</t>
  </si>
  <si>
    <t>FORMS</t>
  </si>
  <si>
    <t>PAGE_DESIGN</t>
  </si>
  <si>
    <t>TABLE_DESIGN</t>
  </si>
  <si>
    <t>META_FORMS</t>
  </si>
  <si>
    <t>MODELS[nm].objects.all()</t>
  </si>
  <si>
    <t>MODELS[nm].objects.filter(**filter_dict)</t>
  </si>
  <si>
    <t>Variable</t>
  </si>
  <si>
    <t>request.user.extendeduser</t>
  </si>
  <si>
    <t>request.user.extendeduser.shopper</t>
  </si>
  <si>
    <t>request.user.extendeduser.consignor</t>
  </si>
  <si>
    <t>request.user.extendeduser.employee</t>
  </si>
  <si>
    <t>#M[User][id=1}</t>
  </si>
  <si>
    <t>#u</t>
  </si>
  <si>
    <t>#x</t>
  </si>
  <si>
    <t>#s</t>
  </si>
  <si>
    <t>#e</t>
  </si>
  <si>
    <t>#M[?]</t>
  </si>
  <si>
    <t>#F[?]</t>
  </si>
  <si>
    <t>#P[?]</t>
  </si>
  <si>
    <t>#T[?]</t>
  </si>
  <si>
    <t>#m[?][?]</t>
  </si>
  <si>
    <t>#m[?]</t>
  </si>
  <si>
    <t>Dict</t>
  </si>
  <si>
    <t>python object</t>
  </si>
  <si>
    <t>object_name</t>
  </si>
  <si>
    <t>excel sheets</t>
  </si>
  <si>
    <t>reference</t>
  </si>
  <si>
    <t>_ref_name</t>
  </si>
  <si>
    <t>model</t>
  </si>
  <si>
    <t>class</t>
  </si>
  <si>
    <t>ModelClass</t>
  </si>
  <si>
    <t>ModelClassForm</t>
  </si>
  <si>
    <t>python</t>
  </si>
  <si>
    <t>design</t>
  </si>
  <si>
    <t>OBJ_DESIGN</t>
  </si>
  <si>
    <t>get form/model</t>
  </si>
  <si>
    <t>MODEL(nm)</t>
  </si>
  <si>
    <t>context</t>
  </si>
  <si>
    <t>key</t>
  </si>
  <si>
    <t>globals</t>
  </si>
  <si>
    <t>#GLB_CDE[?][?]</t>
  </si>
  <si>
    <t>field</t>
  </si>
  <si>
    <t>model_field</t>
  </si>
  <si>
    <t>variables</t>
  </si>
  <si>
    <t>python_variable</t>
  </si>
  <si>
    <t>local variable</t>
  </si>
  <si>
    <t>_local_variable</t>
  </si>
  <si>
    <t>Where</t>
  </si>
  <si>
    <t>Format</t>
  </si>
  <si>
    <t>constants</t>
  </si>
  <si>
    <t>PY_CONST</t>
  </si>
  <si>
    <t>views</t>
  </si>
  <si>
    <t>view</t>
  </si>
  <si>
    <t>files</t>
  </si>
  <si>
    <t>html</t>
  </si>
  <si>
    <t>page-name.html</t>
  </si>
  <si>
    <t>file_name.py</t>
  </si>
  <si>
    <t>pickle</t>
  </si>
  <si>
    <t>pickle_file.pkl</t>
  </si>
  <si>
    <t>google storage</t>
  </si>
  <si>
    <t>dir-name-desc/longfilename.jpg</t>
  </si>
  <si>
    <t>PageName?k=v;k=v1,v2;</t>
  </si>
  <si>
    <t>MyCalendar</t>
  </si>
  <si>
    <t>ViewInventory</t>
  </si>
  <si>
    <t>ViewConsignors</t>
  </si>
  <si>
    <t>ViewSchedule</t>
  </si>
  <si>
    <t>ViewVacation</t>
  </si>
  <si>
    <t>ViewDrawers</t>
  </si>
  <si>
    <t>ViewEmployee</t>
  </si>
  <si>
    <t>Add Event</t>
  </si>
  <si>
    <t>AddEvent</t>
  </si>
  <si>
    <t>Add Inventory</t>
  </si>
  <si>
    <t>AddInventory</t>
  </si>
  <si>
    <t>Add DropOff</t>
  </si>
  <si>
    <t>Add Employee</t>
  </si>
  <si>
    <t>AddEmployee</t>
  </si>
  <si>
    <t>Add Consignor</t>
  </si>
  <si>
    <t>AddConsignor</t>
  </si>
  <si>
    <t>Add Schedule</t>
  </si>
  <si>
    <t>AddSchedule</t>
  </si>
  <si>
    <t>Add Vacation</t>
  </si>
  <si>
    <t>AddVacation</t>
  </si>
  <si>
    <t>Add Drawer</t>
  </si>
  <si>
    <t>AddDrawer</t>
  </si>
  <si>
    <t>Add Consignor Below</t>
  </si>
  <si>
    <t>&lt;a href="/ViewConsignors" class="text-primary"&gt;View Consignors&lt;/a&gt; to edit existing consignor.</t>
  </si>
  <si>
    <t>Add Department Below</t>
  </si>
  <si>
    <t>&lt;a href="/ViewDepartments" class="text-primary"&gt;View Departments&lt;/a&gt; to edit existing department.</t>
  </si>
  <si>
    <t>Add Drawer Below</t>
  </si>
  <si>
    <t>&lt;a href="/ViewDrawers" class="text-primary"&gt;View Drawers&lt;/a&gt; to edit existing drawer.</t>
  </si>
  <si>
    <t>Add DropOff Below</t>
  </si>
  <si>
    <t>&lt;a href="/ViewDropoffs" class="text-primary"&gt;View DropOffs&lt;/a&gt; to edit existing dropoff.</t>
  </si>
  <si>
    <t>Add Employee Below</t>
  </si>
  <si>
    <t>&lt;a href="/ViewEmployee" class="text-primary"&gt;View Employees&lt;/a&gt; to edit existing employee.</t>
  </si>
  <si>
    <t>Add Event Below</t>
  </si>
  <si>
    <t>Add Inventory Below</t>
  </si>
  <si>
    <t>&lt;a href="/ViewInventory" class="text-primary"&gt;View Inventory&lt;/a&gt; to edit existing inventory.</t>
  </si>
  <si>
    <t>Add Liquidator Below</t>
  </si>
  <si>
    <t>&lt;a href="/ViewLiquidators" class="text-primary"&gt;View Liquidators&lt;/a&gt; to edit existing liquidator.</t>
  </si>
  <si>
    <t>Add Location Below</t>
  </si>
  <si>
    <t>&lt;a href="/ViewLocations" class="text-primary"&gt;View Locations&lt;/a&gt; to edit existing location.</t>
  </si>
  <si>
    <t>Add Order Below</t>
  </si>
  <si>
    <t>&lt;a href="/ViewOrders" class="text-primary"&gt;View Orders&lt;/a&gt; to edit existing order.</t>
  </si>
  <si>
    <t>Add Position Below</t>
  </si>
  <si>
    <t>&lt;a href="/ViewPositions" class="text-primary"&gt;View Positions&lt;/a&gt; to edit existing position.</t>
  </si>
  <si>
    <t>Add Schedule Below</t>
  </si>
  <si>
    <t>&lt;a href="/ViewSchedule" class="text-primary"&gt;View Schedules&lt;/a&gt; to edit existing schedule.</t>
  </si>
  <si>
    <t>Add Section Below</t>
  </si>
  <si>
    <t>&lt;a href="/ViewSections" class="text-primary"&gt;View Sections&lt;/a&gt; to edit existing section.</t>
  </si>
  <si>
    <t>Add Store Below</t>
  </si>
  <si>
    <t>&lt;a href="/ViewStores" class="text-primary"&gt;View Stores&lt;/a&gt; to edit existing store.</t>
  </si>
  <si>
    <t>Add Vacation Below</t>
  </si>
  <si>
    <t>&lt;a href="/ViewVacation" class="text-primary"&gt;View Vacation&lt;/a&gt; to edit existing vacation.</t>
  </si>
  <si>
    <t>View Consignors Below</t>
  </si>
  <si>
    <t>View Departments Below</t>
  </si>
  <si>
    <t>View Drawers Below</t>
  </si>
  <si>
    <t>View DropOffs Below</t>
  </si>
  <si>
    <t>View Employees Below</t>
  </si>
  <si>
    <t>View Inventory Below</t>
  </si>
  <si>
    <t>View Items Below</t>
  </si>
  <si>
    <t>View Liquidators Below</t>
  </si>
  <si>
    <t>View Locations Below</t>
  </si>
  <si>
    <t>View Orders Below</t>
  </si>
  <si>
    <t>View Positions Below</t>
  </si>
  <si>
    <t>View Schedules Below</t>
  </si>
  <si>
    <t>View Sections Below</t>
  </si>
  <si>
    <t>View Stores Below</t>
  </si>
  <si>
    <t>View Vacation Below</t>
  </si>
  <si>
    <t>EditConsignor</t>
  </si>
  <si>
    <t>Edit Consignor</t>
  </si>
  <si>
    <t>Edit Consignor Below</t>
  </si>
  <si>
    <t>Edit Department Below</t>
  </si>
  <si>
    <t>EditDrawer</t>
  </si>
  <si>
    <t>Edit Drawer</t>
  </si>
  <si>
    <t>Edit Drawer Below</t>
  </si>
  <si>
    <t>Edit DropOff</t>
  </si>
  <si>
    <t>Edit DropOff Below</t>
  </si>
  <si>
    <t>EditEmployee</t>
  </si>
  <si>
    <t>Edit Employee</t>
  </si>
  <si>
    <t>Edit Employee Below</t>
  </si>
  <si>
    <t>EditInventory</t>
  </si>
  <si>
    <t>Edit Inventory</t>
  </si>
  <si>
    <t>Edit Inventory Below</t>
  </si>
  <si>
    <t>Edit Liquidator Below</t>
  </si>
  <si>
    <t>Edit Location Below</t>
  </si>
  <si>
    <t>Edit Order Below</t>
  </si>
  <si>
    <t>Edit Position Below</t>
  </si>
  <si>
    <t>EditSchedule</t>
  </si>
  <si>
    <t>Edit Schedule</t>
  </si>
  <si>
    <t>Edit Schedule Below</t>
  </si>
  <si>
    <t>Edit Section Below</t>
  </si>
  <si>
    <t>Edit Store Below</t>
  </si>
  <si>
    <t>EditVacation</t>
  </si>
  <si>
    <t>Edit Vacation</t>
  </si>
  <si>
    <t>Edit Vacation Below</t>
  </si>
  <si>
    <t>or &lt;a href="/ViewConsignors" class="text-primary"&gt;View Consignors&lt;/a&gt;.</t>
  </si>
  <si>
    <t>or &lt;a href="/ViewDepartments" class="text-primary"&gt;View Departments&lt;/a&gt;.</t>
  </si>
  <si>
    <t>or &lt;a href="/ViewDrawers" class="text-primary"&gt;View Drawers&lt;/a&gt;.</t>
  </si>
  <si>
    <t>or &lt;a href="/ViewDropoffs" class="text-primary"&gt;View DropOffs&lt;/a&gt;.</t>
  </si>
  <si>
    <t>or &lt;a href="/ViewEmployee" class="text-primary"&gt;View Employees&lt;/a&gt;.</t>
  </si>
  <si>
    <t>or &lt;a href="/ViewInventory" class="text-primary"&gt;View Inventory&lt;/a&gt;.</t>
  </si>
  <si>
    <t>or &lt;a href="/ViewLiquidators" class="text-primary"&gt;View Liquidators&lt;/a&gt;.</t>
  </si>
  <si>
    <t>or &lt;a href="/ViewLocations" class="text-primary"&gt;View Locations&lt;/a&gt;.</t>
  </si>
  <si>
    <t>or &lt;a href="/ViewOrders" class="text-primary"&gt;View Orders&lt;/a&gt;.</t>
  </si>
  <si>
    <t>or &lt;a href="/ViewPositions" class="text-primary"&gt;View Positions&lt;/a&gt;.</t>
  </si>
  <si>
    <t>or &lt;a href="/ViewSchedule" class="text-primary"&gt;View Schedules&lt;/a&gt;.</t>
  </si>
  <si>
    <t>or &lt;a href="/ViewSections" class="text-primary"&gt;View Sections&lt;/a&gt;.</t>
  </si>
  <si>
    <t>or &lt;a href="/ViewStores" class="text-primary"&gt;View Stores&lt;/a&gt;.</t>
  </si>
  <si>
    <t>or &lt;a href="/ViewVacation" class="text-primary"&gt;View Vacation&lt;/a&gt;.</t>
  </si>
  <si>
    <t>or &lt;a href="/MyCalendar" class="text-primary"&gt;View Calendar&lt;/a&gt;.</t>
  </si>
  <si>
    <t>or &lt;a href="/AddConsignor" class="text-primary"&gt;create a new event&lt;/a&gt;.</t>
  </si>
  <si>
    <t>Click on a consignor to edit; or &lt;a href="/AddConsignor" class="text-primary"&gt;create a new one&lt;/a&gt;.</t>
  </si>
  <si>
    <t>Click on a department to edit; or &lt;a href="/AddDepartment" class="text-primary"&gt;create a new one&lt;/a&gt;.</t>
  </si>
  <si>
    <t>Click on a drawer to edit; or &lt;a href="/AddDrawer" class="text-primary"&gt;create a new one&lt;/a&gt;.</t>
  </si>
  <si>
    <t>Click on a dropoff to edit; or &lt;a href="/AddDropoff" class="text-primary"&gt;create a new one&lt;/a&gt;.</t>
  </si>
  <si>
    <t>Click on an employee to edit; or &lt;a href="/AddEmployee" class="text-primary"&gt;create a new one&lt;/a&gt;.</t>
  </si>
  <si>
    <t>Click on an inventory to edit; or &lt;a href="/AddInventory" class="text-primary"&gt;create a new one&lt;/a&gt;.</t>
  </si>
  <si>
    <t>Click on an item to edit; or &lt;a href="/AddItem" class="text-primary"&gt;create a new one&lt;/a&gt;.</t>
  </si>
  <si>
    <t>Click on a liquidator to edit; or &lt;a href="/AddLiquidator" class="text-primary"&gt;create a new one&lt;/a&gt;.</t>
  </si>
  <si>
    <t>Click on a location to edit; or &lt;a href="/AddLocation" class="text-primary"&gt;create a new one&lt;/a&gt;.</t>
  </si>
  <si>
    <t>Click on an order to edit; or &lt;a href="/AddOrder" class="text-primary"&gt;create a new one&lt;/a&gt;.</t>
  </si>
  <si>
    <t>Click on a position to edit; or &lt;a href="/AddPosition" class="text-primary"&gt;create a new one&lt;/a&gt;.</t>
  </si>
  <si>
    <t>Click on a schedule to edit; or &lt;a href="/AddSchedule" class="text-primary"&gt;create a new one&lt;/a&gt;.</t>
  </si>
  <si>
    <t>Click on a section to edit; or &lt;a href="/AddSection" class="text-primary"&gt;create a new one&lt;/a&gt;.</t>
  </si>
  <si>
    <t>Click on a store to edit; or &lt;a href="/AddStore" class="text-primary"&gt;create a new one&lt;/a&gt;.</t>
  </si>
  <si>
    <t>Click on a vacation to edit; or &lt;a href="/AddVacation" class="text-primary"&gt;create a new one&lt;/a&gt;.</t>
  </si>
  <si>
    <t>View Calendar Below</t>
  </si>
  <si>
    <t>Fill in the fields below to tell us more about you.</t>
  </si>
  <si>
    <t>Time Clock</t>
  </si>
  <si>
    <t>MetaForm</t>
  </si>
  <si>
    <t>Element</t>
  </si>
  <si>
    <t>RedirectValid</t>
  </si>
  <si>
    <t>RedirectInvalid</t>
  </si>
  <si>
    <t>Submit</t>
  </si>
  <si>
    <t>My User Profile</t>
  </si>
  <si>
    <t>My Shopper Profile</t>
  </si>
  <si>
    <t>My Consignor Profile</t>
  </si>
  <si>
    <t>My Employee Profile</t>
  </si>
  <si>
    <t>You can edit your user profile below</t>
  </si>
  <si>
    <t>You can edit your shopper profile below</t>
  </si>
  <si>
    <t>You can edit your consignor profile below</t>
  </si>
  <si>
    <t>You can edit your employee profile below</t>
  </si>
  <si>
    <t>Field</t>
  </si>
  <si>
    <t>FieldClass</t>
  </si>
  <si>
    <t>HeadClass</t>
  </si>
  <si>
    <t>text-uppercase text-left</t>
  </si>
  <si>
    <t>text-uppercase text-center</t>
  </si>
  <si>
    <t>FieldHREF</t>
  </si>
  <si>
    <t>This is the Dashboard</t>
  </si>
  <si>
    <t>I need to update this</t>
  </si>
  <si>
    <t>EndMenu</t>
  </si>
  <si>
    <t>EndSub</t>
  </si>
  <si>
    <t>End</t>
  </si>
  <si>
    <t>filter|tag</t>
  </si>
  <si>
    <t>_ThisFilter, ThatTag_</t>
  </si>
  <si>
    <t>RowCode</t>
  </si>
  <si>
    <t>s</t>
  </si>
  <si>
    <t>e</t>
  </si>
  <si>
    <t>Start</t>
  </si>
  <si>
    <t>Both</t>
  </si>
  <si>
    <t>JavaScript</t>
  </si>
  <si>
    <t>FieldValue</t>
  </si>
  <si>
    <t>Task</t>
  </si>
  <si>
    <t>Links and Instances working again</t>
  </si>
  <si>
    <t>Order and Dropoff Forms working as expected</t>
  </si>
  <si>
    <t>Button to go to Items Checkin</t>
  </si>
  <si>
    <t>Manifest Process working again</t>
  </si>
  <si>
    <t>Edit Table working for Order/Dropoff Items</t>
  </si>
  <si>
    <t>Checkout Designed</t>
  </si>
  <si>
    <t>Checkout Built</t>
  </si>
  <si>
    <t>Checkout working with scanner</t>
  </si>
  <si>
    <t>Checkout printing reciepts</t>
  </si>
  <si>
    <t>Checkout working with Credit Machine and Register</t>
  </si>
  <si>
    <t>Drawer objects working with Checkout</t>
  </si>
  <si>
    <t>Sections and Locations Designed and Created</t>
  </si>
  <si>
    <t>Inventory Page created</t>
  </si>
  <si>
    <t>Calendar and Events Created</t>
  </si>
  <si>
    <t>Timeclock created and working</t>
  </si>
  <si>
    <t>Schedule created</t>
  </si>
  <si>
    <t>Personal Reports</t>
  </si>
  <si>
    <t>Manager Reports</t>
  </si>
  <si>
    <t>General Manager Reports</t>
  </si>
  <si>
    <t>Store Reports</t>
  </si>
  <si>
    <t>Dashboard created with a few different elements</t>
  </si>
  <si>
    <t>Open for business</t>
  </si>
  <si>
    <t>Instance</t>
  </si>
  <si>
    <t>medium</t>
  </si>
  <si>
    <t>easy</t>
  </si>
  <si>
    <t>hard</t>
  </si>
  <si>
    <t>Difficulty</t>
  </si>
  <si>
    <t>RemainDiff</t>
  </si>
  <si>
    <t>u</t>
  </si>
  <si>
    <t>c</t>
  </si>
  <si>
    <t>User Permissons</t>
  </si>
  <si>
    <t>Proof of Delivery</t>
  </si>
  <si>
    <t>storage</t>
  </si>
  <si>
    <t>upload</t>
  </si>
  <si>
    <t>Determine if excel, pkl, SQL object</t>
  </si>
  <si>
    <t>decide if edit on website or local excel</t>
  </si>
  <si>
    <t>determine fields, how to convert, categories etc</t>
  </si>
  <si>
    <t>determine if trigger: button, on save, on upload.</t>
  </si>
  <si>
    <t>In view or form or both</t>
  </si>
  <si>
    <t>Fields in order, items, order_line, manifest etc</t>
  </si>
  <si>
    <t>upload csv</t>
  </si>
  <si>
    <t>process manifest</t>
  </si>
  <si>
    <t>Items from csv</t>
  </si>
  <si>
    <t>reprocess…</t>
  </si>
  <si>
    <t>add</t>
  </si>
  <si>
    <t>update</t>
  </si>
  <si>
    <t>delete</t>
  </si>
  <si>
    <t>modal?</t>
  </si>
  <si>
    <t>Checkout</t>
  </si>
  <si>
    <t>CheckIn</t>
  </si>
  <si>
    <t>Items from Dropoff</t>
  </si>
  <si>
    <t>Items from Manifest; Order</t>
  </si>
  <si>
    <t>EditShopper</t>
  </si>
  <si>
    <t>ViewShoppers</t>
  </si>
  <si>
    <t>AddShopper</t>
  </si>
  <si>
    <t>Basic</t>
  </si>
  <si>
    <t>ModelDesign</t>
  </si>
  <si>
    <t>dict</t>
  </si>
  <si>
    <t>PageDesign</t>
  </si>
  <si>
    <t>str</t>
  </si>
  <si>
    <t>list</t>
  </si>
  <si>
    <t>Fields</t>
  </si>
  <si>
    <t>Elements</t>
  </si>
  <si>
    <t>MetaForms</t>
  </si>
  <si>
    <t>Sidebar</t>
  </si>
  <si>
    <t>Notifications</t>
  </si>
  <si>
    <t>object</t>
  </si>
  <si>
    <t>request</t>
  </si>
  <si>
    <t>Context</t>
  </si>
  <si>
    <t>TableDesign</t>
  </si>
  <si>
    <t>TableData</t>
  </si>
  <si>
    <t>meta_form</t>
  </si>
  <si>
    <t>FormName</t>
  </si>
  <si>
    <t>ModelName</t>
  </si>
  <si>
    <t>FormDesign</t>
  </si>
  <si>
    <t>/AddItem?Dropoff={pk}</t>
  </si>
  <si>
    <t>AddItemApp</t>
  </si>
  <si>
    <t>App</t>
  </si>
  <si>
    <t>AddOrderItems</t>
  </si>
  <si>
    <t>AddDropoffItems</t>
  </si>
  <si>
    <t>home/app-add-items.html</t>
  </si>
  <si>
    <t>Add Items From Order</t>
  </si>
  <si>
    <t>Add Items From Dropoff</t>
  </si>
  <si>
    <t>Add Items From Order {order.pk}</t>
  </si>
  <si>
    <t>Add Items From Dropoff {dropoff.pk}</t>
  </si>
  <si>
    <t>Advanced</t>
  </si>
  <si>
    <t>/AddOrderItems?pk={pk}</t>
  </si>
  <si>
    <t>Go to &lt;a href="/EditOrder?pk={order.pk}" class="text-primary"&gt;{OrderStr}&lt;/a&gt;</t>
  </si>
  <si>
    <t>Go to &lt;a href="/EditOrder?pk={dropoff.pk}" class="text-primary"&gt;{DropoffStr}&lt;/a&gt;</t>
  </si>
  <si>
    <t>AutoGen</t>
  </si>
  <si>
    <t>FromManifest</t>
  </si>
  <si>
    <t>X</t>
  </si>
  <si>
    <t>FormInput</t>
  </si>
  <si>
    <t>checked_in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</si>
</sst>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Var(--ff-mono)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43" fontId="4" fillId="0" borderId="0" applyFont="0" applyFill="0" applyBorder="0" applyAlignment="0" applyProtection="0"/>
    <xf numFmtId="0" fontId="5" fillId="5" borderId="0" applyNumberFormat="0" applyBorder="0" applyAlignment="0" applyProtection="0"/>
    <xf numFmtId="0" fontId="6" fillId="8" borderId="0" applyNumberFormat="0" applyBorder="0" applyAlignment="0" applyProtection="0"/>
  </cellStyleXfs>
  <cellXfs count="81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5" xfId="0" applyBorder="1"/>
    <xf numFmtId="0" fontId="1" fillId="0" borderId="10" xfId="0" applyFont="1" applyBorder="1" applyAlignment="1">
      <alignment horizontal="center"/>
    </xf>
    <xf numFmtId="49" fontId="1" fillId="0" borderId="12" xfId="0" applyNumberFormat="1" applyFont="1" applyBorder="1" applyAlignment="1">
      <alignment horizontal="left"/>
    </xf>
    <xf numFmtId="49" fontId="1" fillId="0" borderId="12" xfId="0" applyNumberFormat="1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49" fontId="1" fillId="4" borderId="14" xfId="0" applyNumberFormat="1" applyFont="1" applyFill="1" applyBorder="1" applyAlignment="1">
      <alignment horizontal="center"/>
    </xf>
    <xf numFmtId="49" fontId="0" fillId="4" borderId="14" xfId="0" applyNumberFormat="1" applyFill="1" applyBorder="1"/>
    <xf numFmtId="49" fontId="1" fillId="4" borderId="14" xfId="0" applyNumberFormat="1" applyFont="1" applyFill="1" applyBorder="1" applyAlignment="1">
      <alignment horizontal="left"/>
    </xf>
    <xf numFmtId="49" fontId="0" fillId="4" borderId="14" xfId="0" applyNumberFormat="1" applyFill="1" applyBorder="1" applyAlignment="1">
      <alignment horizontal="left"/>
    </xf>
    <xf numFmtId="49" fontId="0" fillId="4" borderId="14" xfId="0" applyNumberFormat="1" applyFill="1" applyBorder="1" applyAlignment="1">
      <alignment horizontal="center"/>
    </xf>
    <xf numFmtId="0" fontId="0" fillId="4" borderId="14" xfId="0" quotePrefix="1" applyFill="1" applyBorder="1" applyAlignment="1">
      <alignment horizontal="center"/>
    </xf>
    <xf numFmtId="49" fontId="0" fillId="4" borderId="14" xfId="0" quotePrefix="1" applyNumberFormat="1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49" fontId="0" fillId="4" borderId="14" xfId="0" quotePrefix="1" applyNumberFormat="1" applyFill="1" applyBorder="1"/>
    <xf numFmtId="0" fontId="0" fillId="4" borderId="14" xfId="0" applyFill="1" applyBorder="1" applyAlignment="1">
      <alignment horizontal="left"/>
    </xf>
    <xf numFmtId="0" fontId="0" fillId="4" borderId="14" xfId="0" applyFill="1" applyBorder="1"/>
    <xf numFmtId="0" fontId="0" fillId="0" borderId="0" xfId="0" quotePrefix="1"/>
    <xf numFmtId="0" fontId="0" fillId="0" borderId="0" xfId="0" applyFill="1"/>
    <xf numFmtId="0" fontId="0" fillId="0" borderId="0" xfId="0" applyFill="1" applyAlignment="1">
      <alignment horizontal="left"/>
    </xf>
    <xf numFmtId="0" fontId="2" fillId="0" borderId="0" xfId="0" applyFont="1" applyFill="1"/>
    <xf numFmtId="0" fontId="0" fillId="0" borderId="0" xfId="0" quotePrefix="1" applyFill="1" applyAlignment="1">
      <alignment horizontal="left"/>
    </xf>
    <xf numFmtId="0" fontId="0" fillId="0" borderId="0" xfId="0" applyFill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quotePrefix="1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19" xfId="0" applyBorder="1"/>
    <xf numFmtId="0" fontId="0" fillId="0" borderId="0" xfId="0" applyBorder="1"/>
    <xf numFmtId="0" fontId="0" fillId="0" borderId="20" xfId="0" applyBorder="1"/>
    <xf numFmtId="0" fontId="1" fillId="0" borderId="16" xfId="0" applyFont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0" xfId="0" applyAlignment="1">
      <alignment horizontal="left" indent="1"/>
    </xf>
    <xf numFmtId="14" fontId="0" fillId="0" borderId="0" xfId="0" applyNumberFormat="1"/>
    <xf numFmtId="14" fontId="0" fillId="7" borderId="0" xfId="0" applyNumberFormat="1" applyFill="1"/>
    <xf numFmtId="0" fontId="0" fillId="7" borderId="0" xfId="0" applyFill="1"/>
    <xf numFmtId="43" fontId="0" fillId="0" borderId="0" xfId="1" applyFont="1" applyAlignment="1">
      <alignment horizontal="center"/>
    </xf>
    <xf numFmtId="0" fontId="0" fillId="7" borderId="0" xfId="0" applyFill="1" applyAlignment="1">
      <alignment horizontal="center"/>
    </xf>
    <xf numFmtId="14" fontId="5" fillId="5" borderId="0" xfId="2" applyNumberFormat="1"/>
    <xf numFmtId="0" fontId="5" fillId="5" borderId="0" xfId="2"/>
    <xf numFmtId="0" fontId="5" fillId="5" borderId="0" xfId="2" applyAlignment="1">
      <alignment horizontal="center"/>
    </xf>
    <xf numFmtId="43" fontId="5" fillId="5" borderId="0" xfId="2" applyNumberFormat="1" applyAlignment="1">
      <alignment horizontal="center"/>
    </xf>
    <xf numFmtId="14" fontId="6" fillId="8" borderId="0" xfId="3" applyNumberFormat="1"/>
    <xf numFmtId="0" fontId="6" fillId="8" borderId="0" xfId="3"/>
    <xf numFmtId="0" fontId="6" fillId="8" borderId="0" xfId="3" applyAlignment="1">
      <alignment horizontal="center"/>
    </xf>
    <xf numFmtId="43" fontId="6" fillId="8" borderId="0" xfId="3" applyNumberFormat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49" fontId="1" fillId="4" borderId="14" xfId="0" applyNumberFormat="1" applyFont="1" applyFill="1" applyBorder="1" applyAlignment="1">
      <alignment horizontal="center"/>
    </xf>
    <xf numFmtId="49" fontId="1" fillId="0" borderId="7" xfId="0" applyNumberFormat="1" applyFont="1" applyBorder="1" applyAlignment="1">
      <alignment horizontal="center"/>
    </xf>
    <xf numFmtId="0" fontId="1" fillId="0" borderId="6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49" fontId="1" fillId="0" borderId="6" xfId="0" applyNumberFormat="1" applyFont="1" applyBorder="1" applyAlignment="1">
      <alignment horizontal="center" vertical="center"/>
    </xf>
    <xf numFmtId="49" fontId="1" fillId="0" borderId="11" xfId="0" applyNumberFormat="1" applyFont="1" applyBorder="1" applyAlignment="1">
      <alignment horizontal="center" vertical="center"/>
    </xf>
    <xf numFmtId="49" fontId="1" fillId="4" borderId="14" xfId="0" applyNumberFormat="1" applyFont="1" applyFill="1" applyBorder="1" applyAlignment="1">
      <alignment horizontal="center" vertical="center"/>
    </xf>
    <xf numFmtId="49" fontId="1" fillId="0" borderId="8" xfId="0" applyNumberFormat="1" applyFont="1" applyBorder="1" applyAlignment="1">
      <alignment horizontal="center"/>
    </xf>
    <xf numFmtId="49" fontId="1" fillId="0" borderId="9" xfId="0" applyNumberFormat="1" applyFont="1" applyBorder="1" applyAlignment="1">
      <alignment horizontal="center"/>
    </xf>
    <xf numFmtId="49" fontId="1" fillId="0" borderId="15" xfId="0" applyNumberFormat="1" applyFont="1" applyBorder="1" applyAlignment="1">
      <alignment horizontal="center"/>
    </xf>
    <xf numFmtId="0" fontId="1" fillId="7" borderId="1" xfId="0" applyFont="1" applyFill="1" applyBorder="1" applyAlignment="1">
      <alignment horizontal="center" vertical="center" wrapText="1"/>
    </xf>
    <xf numFmtId="0" fontId="0" fillId="0" borderId="2" xfId="0" applyFill="1" applyBorder="1"/>
    <xf numFmtId="0" fontId="0" fillId="0" borderId="4" xfId="0" applyFill="1" applyBorder="1"/>
    <xf numFmtId="0" fontId="0" fillId="0" borderId="0" xfId="0" applyFill="1" applyBorder="1"/>
    <xf numFmtId="0" fontId="5" fillId="5" borderId="2" xfId="2" applyBorder="1"/>
    <xf numFmtId="0" fontId="6" fillId="8" borderId="2" xfId="3" applyBorder="1"/>
    <xf numFmtId="0" fontId="6" fillId="8" borderId="4" xfId="3" applyBorder="1"/>
  </cellXfs>
  <cellStyles count="4">
    <cellStyle name="Comma" xfId="1" builtinId="3"/>
    <cellStyle name="Good" xfId="2" builtinId="26"/>
    <cellStyle name="Neutral" xfId="3" builtinId="28"/>
    <cellStyle name="Normal" xfId="0" builtinId="0"/>
  </cellStyles>
  <dxfs count="2">
    <dxf>
      <fill>
        <patternFill>
          <bgColor theme="2" tint="-9.9948118533890809E-2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2" tint="-9.9948118533890809E-2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C604B-F8EB-4D93-9CAA-D1E9DCA74922}">
  <sheetPr codeName="Sheet3"/>
  <dimension ref="A1:H36"/>
  <sheetViews>
    <sheetView tabSelected="1" zoomScale="130" zoomScaleNormal="130" workbookViewId="0">
      <selection activeCell="I37" sqref="I37"/>
    </sheetView>
  </sheetViews>
  <sheetFormatPr defaultRowHeight="15"/>
  <cols>
    <col min="1" max="1" width="4.85546875" style="2" customWidth="1"/>
    <col min="2" max="2" width="12.7109375" bestFit="1" customWidth="1"/>
    <col min="3" max="3" width="12.5703125" bestFit="1" customWidth="1"/>
    <col min="4" max="4" width="17.85546875" bestFit="1" customWidth="1"/>
    <col min="5" max="5" width="7.5703125" bestFit="1" customWidth="1"/>
    <col min="6" max="6" width="9.5703125" bestFit="1" customWidth="1"/>
    <col min="7" max="7" width="17.42578125" bestFit="1" customWidth="1"/>
    <col min="8" max="8" width="19.28515625" bestFit="1" customWidth="1"/>
    <col min="9" max="9" width="17.42578125" bestFit="1" customWidth="1"/>
  </cols>
  <sheetData>
    <row r="1" spans="1:8">
      <c r="A1" s="21" t="s">
        <v>558</v>
      </c>
      <c r="B1" s="21" t="s">
        <v>492</v>
      </c>
      <c r="C1" s="21" t="s">
        <v>517</v>
      </c>
      <c r="D1" s="21" t="s">
        <v>516</v>
      </c>
      <c r="E1" s="21" t="s">
        <v>910</v>
      </c>
      <c r="F1" s="21" t="s">
        <v>909</v>
      </c>
      <c r="G1" s="21" t="s">
        <v>325</v>
      </c>
      <c r="H1" s="21" t="s">
        <v>518</v>
      </c>
    </row>
    <row r="2" spans="1:8">
      <c r="A2" s="2">
        <v>1</v>
      </c>
      <c r="B2" t="s">
        <v>493</v>
      </c>
      <c r="C2" t="s">
        <v>401</v>
      </c>
      <c r="E2" t="s">
        <v>911</v>
      </c>
      <c r="G2" t="s">
        <v>401</v>
      </c>
      <c r="H2" t="s">
        <v>523</v>
      </c>
    </row>
    <row r="3" spans="1:8">
      <c r="A3" s="2">
        <v>2</v>
      </c>
      <c r="C3" t="s">
        <v>494</v>
      </c>
      <c r="E3" t="s">
        <v>911</v>
      </c>
      <c r="G3" t="s">
        <v>538</v>
      </c>
    </row>
    <row r="4" spans="1:8">
      <c r="A4" s="2">
        <v>3</v>
      </c>
      <c r="C4" t="s">
        <v>495</v>
      </c>
      <c r="E4" t="s">
        <v>911</v>
      </c>
      <c r="G4" t="s">
        <v>495</v>
      </c>
    </row>
    <row r="5" spans="1:8">
      <c r="A5" s="2">
        <v>4</v>
      </c>
      <c r="C5" t="s">
        <v>496</v>
      </c>
      <c r="E5" t="s">
        <v>911</v>
      </c>
      <c r="G5" t="s">
        <v>761</v>
      </c>
    </row>
    <row r="6" spans="1:8">
      <c r="A6" s="2">
        <v>5</v>
      </c>
      <c r="C6" t="s">
        <v>768</v>
      </c>
      <c r="E6" t="s">
        <v>911</v>
      </c>
      <c r="F6" t="s">
        <v>911</v>
      </c>
      <c r="G6" t="s">
        <v>769</v>
      </c>
    </row>
    <row r="7" spans="1:8">
      <c r="A7" s="2">
        <v>7</v>
      </c>
      <c r="B7" t="s">
        <v>497</v>
      </c>
      <c r="C7" t="s">
        <v>498</v>
      </c>
      <c r="D7" t="s">
        <v>770</v>
      </c>
      <c r="G7" t="s">
        <v>771</v>
      </c>
      <c r="H7" t="s">
        <v>522</v>
      </c>
    </row>
    <row r="8" spans="1:8">
      <c r="A8" s="2">
        <v>8</v>
      </c>
      <c r="D8" t="s">
        <v>500</v>
      </c>
      <c r="E8" t="s">
        <v>911</v>
      </c>
      <c r="G8" t="s">
        <v>762</v>
      </c>
    </row>
    <row r="9" spans="1:8">
      <c r="A9" s="2">
        <v>9</v>
      </c>
      <c r="C9" t="s">
        <v>466</v>
      </c>
      <c r="D9" t="s">
        <v>460</v>
      </c>
      <c r="G9" t="s">
        <v>459</v>
      </c>
    </row>
    <row r="10" spans="1:8">
      <c r="A10" s="2">
        <v>10</v>
      </c>
      <c r="D10" t="s">
        <v>431</v>
      </c>
      <c r="E10" t="s">
        <v>911</v>
      </c>
      <c r="G10" t="s">
        <v>419</v>
      </c>
    </row>
    <row r="11" spans="1:8">
      <c r="A11" s="2">
        <v>11</v>
      </c>
      <c r="C11" t="s">
        <v>499</v>
      </c>
      <c r="D11" t="s">
        <v>772</v>
      </c>
      <c r="G11" t="s">
        <v>457</v>
      </c>
    </row>
    <row r="12" spans="1:8">
      <c r="A12" s="2">
        <v>12</v>
      </c>
      <c r="D12" t="s">
        <v>509</v>
      </c>
      <c r="E12" t="s">
        <v>911</v>
      </c>
      <c r="G12" t="s">
        <v>418</v>
      </c>
    </row>
    <row r="13" spans="1:8">
      <c r="A13" s="2">
        <v>13</v>
      </c>
      <c r="C13" t="s">
        <v>61</v>
      </c>
      <c r="D13" t="s">
        <v>462</v>
      </c>
      <c r="G13" t="s">
        <v>461</v>
      </c>
    </row>
    <row r="14" spans="1:8">
      <c r="A14" s="2">
        <v>14</v>
      </c>
      <c r="D14" t="s">
        <v>432</v>
      </c>
      <c r="E14" t="s">
        <v>911</v>
      </c>
      <c r="F14" t="s">
        <v>911</v>
      </c>
      <c r="G14" t="s">
        <v>420</v>
      </c>
    </row>
    <row r="15" spans="1:8">
      <c r="A15" s="2">
        <v>15</v>
      </c>
      <c r="B15" t="s">
        <v>501</v>
      </c>
      <c r="C15" t="s">
        <v>502</v>
      </c>
      <c r="D15" t="s">
        <v>773</v>
      </c>
      <c r="G15" t="s">
        <v>774</v>
      </c>
      <c r="H15" t="s">
        <v>521</v>
      </c>
    </row>
    <row r="16" spans="1:8">
      <c r="A16" s="2">
        <v>16</v>
      </c>
      <c r="D16" t="s">
        <v>510</v>
      </c>
      <c r="E16" t="s">
        <v>911</v>
      </c>
      <c r="G16" t="s">
        <v>767</v>
      </c>
    </row>
    <row r="17" spans="1:8">
      <c r="A17" s="2">
        <v>17</v>
      </c>
      <c r="C17" t="s">
        <v>503</v>
      </c>
      <c r="D17" t="s">
        <v>775</v>
      </c>
      <c r="G17" t="s">
        <v>776</v>
      </c>
    </row>
    <row r="18" spans="1:8">
      <c r="A18" s="2">
        <v>18</v>
      </c>
      <c r="D18" t="s">
        <v>511</v>
      </c>
      <c r="E18" t="s">
        <v>911</v>
      </c>
      <c r="G18" t="s">
        <v>763</v>
      </c>
    </row>
    <row r="19" spans="1:8">
      <c r="A19" s="2">
        <v>19</v>
      </c>
      <c r="C19" t="s">
        <v>464</v>
      </c>
      <c r="D19" t="s">
        <v>449</v>
      </c>
      <c r="G19" t="s">
        <v>448</v>
      </c>
    </row>
    <row r="20" spans="1:8">
      <c r="A20" s="2">
        <v>20</v>
      </c>
      <c r="D20" t="s">
        <v>424</v>
      </c>
      <c r="E20" t="s">
        <v>911</v>
      </c>
      <c r="G20" t="s">
        <v>412</v>
      </c>
    </row>
    <row r="21" spans="1:8">
      <c r="A21" s="2">
        <v>21</v>
      </c>
      <c r="C21" t="s">
        <v>504</v>
      </c>
      <c r="D21" t="s">
        <v>777</v>
      </c>
      <c r="G21" t="s">
        <v>778</v>
      </c>
    </row>
    <row r="22" spans="1:8">
      <c r="A22" s="2">
        <v>22</v>
      </c>
      <c r="D22" t="s">
        <v>507</v>
      </c>
      <c r="E22" t="s">
        <v>911</v>
      </c>
      <c r="G22" t="s">
        <v>764</v>
      </c>
    </row>
    <row r="23" spans="1:8">
      <c r="A23" s="2">
        <v>23</v>
      </c>
      <c r="C23" t="s">
        <v>505</v>
      </c>
      <c r="D23" t="s">
        <v>779</v>
      </c>
      <c r="G23" t="s">
        <v>780</v>
      </c>
    </row>
    <row r="24" spans="1:8">
      <c r="A24" s="2">
        <v>24</v>
      </c>
      <c r="D24" t="s">
        <v>512</v>
      </c>
      <c r="E24" t="s">
        <v>911</v>
      </c>
      <c r="G24" t="s">
        <v>765</v>
      </c>
    </row>
    <row r="25" spans="1:8">
      <c r="A25" s="2">
        <v>25</v>
      </c>
      <c r="C25" t="s">
        <v>513</v>
      </c>
      <c r="D25" t="s">
        <v>781</v>
      </c>
      <c r="G25" t="s">
        <v>782</v>
      </c>
    </row>
    <row r="26" spans="1:8">
      <c r="A26" s="2">
        <v>26</v>
      </c>
      <c r="D26" t="s">
        <v>508</v>
      </c>
      <c r="E26" t="s">
        <v>911</v>
      </c>
      <c r="F26" t="s">
        <v>911</v>
      </c>
      <c r="G26" t="s">
        <v>766</v>
      </c>
    </row>
    <row r="27" spans="1:8">
      <c r="A27" s="2">
        <v>27</v>
      </c>
      <c r="B27" t="s">
        <v>506</v>
      </c>
      <c r="C27" t="s">
        <v>469</v>
      </c>
      <c r="D27" t="s">
        <v>400</v>
      </c>
      <c r="G27" t="s">
        <v>399</v>
      </c>
      <c r="H27" t="s">
        <v>520</v>
      </c>
    </row>
    <row r="28" spans="1:8">
      <c r="A28" s="2">
        <v>28</v>
      </c>
      <c r="D28" t="s">
        <v>425</v>
      </c>
      <c r="E28" t="s">
        <v>911</v>
      </c>
      <c r="G28" t="s">
        <v>413</v>
      </c>
    </row>
    <row r="29" spans="1:8">
      <c r="A29" s="2">
        <v>29</v>
      </c>
      <c r="C29" t="s">
        <v>463</v>
      </c>
      <c r="D29" t="s">
        <v>451</v>
      </c>
      <c r="G29" t="s">
        <v>450</v>
      </c>
    </row>
    <row r="30" spans="1:8">
      <c r="A30" s="2">
        <v>30</v>
      </c>
      <c r="D30" t="s">
        <v>426</v>
      </c>
      <c r="E30" t="s">
        <v>911</v>
      </c>
      <c r="G30" t="s">
        <v>414</v>
      </c>
    </row>
    <row r="31" spans="1:8">
      <c r="A31" s="2">
        <v>31</v>
      </c>
      <c r="C31" t="s">
        <v>467</v>
      </c>
      <c r="D31" t="s">
        <v>456</v>
      </c>
      <c r="G31" t="s">
        <v>455</v>
      </c>
    </row>
    <row r="32" spans="1:8">
      <c r="A32" s="2">
        <v>32</v>
      </c>
      <c r="D32" t="s">
        <v>429</v>
      </c>
      <c r="E32" t="s">
        <v>911</v>
      </c>
      <c r="G32" t="s">
        <v>417</v>
      </c>
    </row>
    <row r="33" spans="1:7">
      <c r="A33" s="2">
        <v>33</v>
      </c>
      <c r="C33" t="s">
        <v>468</v>
      </c>
      <c r="D33" t="s">
        <v>398</v>
      </c>
      <c r="G33" t="s">
        <v>452</v>
      </c>
    </row>
    <row r="34" spans="1:7">
      <c r="A34" s="2">
        <v>34</v>
      </c>
      <c r="D34" t="s">
        <v>427</v>
      </c>
      <c r="E34" t="s">
        <v>911</v>
      </c>
      <c r="G34" t="s">
        <v>415</v>
      </c>
    </row>
    <row r="35" spans="1:7">
      <c r="A35" s="2">
        <v>35</v>
      </c>
      <c r="C35" t="s">
        <v>465</v>
      </c>
      <c r="D35" t="s">
        <v>454</v>
      </c>
      <c r="G35" t="s">
        <v>453</v>
      </c>
    </row>
    <row r="36" spans="1:7">
      <c r="A36" s="2">
        <v>36</v>
      </c>
      <c r="D36" t="s">
        <v>428</v>
      </c>
      <c r="E36" t="s">
        <v>911</v>
      </c>
      <c r="F36" t="s">
        <v>911</v>
      </c>
      <c r="G36" t="s">
        <v>416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B42B3-7D03-4D55-9156-199886316DD6}">
  <sheetPr codeName="Sheet5"/>
  <dimension ref="A1:D14"/>
  <sheetViews>
    <sheetView zoomScale="130" zoomScaleNormal="130" workbookViewId="0">
      <selection activeCell="D34" sqref="D34"/>
    </sheetView>
  </sheetViews>
  <sheetFormatPr defaultRowHeight="15"/>
  <cols>
    <col min="1" max="1" width="4.85546875" style="2" customWidth="1"/>
    <col min="2" max="2" width="18.28515625" bestFit="1" customWidth="1"/>
    <col min="3" max="3" width="11.140625" style="2" bestFit="1" customWidth="1"/>
    <col min="4" max="4" width="113" bestFit="1" customWidth="1"/>
  </cols>
  <sheetData>
    <row r="1" spans="1:4">
      <c r="A1" s="21" t="s">
        <v>558</v>
      </c>
      <c r="B1" s="21" t="s">
        <v>0</v>
      </c>
      <c r="C1" s="21" t="s">
        <v>351</v>
      </c>
      <c r="D1" s="21" t="s">
        <v>332</v>
      </c>
    </row>
    <row r="2" spans="1:4">
      <c r="A2" s="2">
        <v>1</v>
      </c>
      <c r="B2" t="s">
        <v>333</v>
      </c>
      <c r="C2" s="2" t="s">
        <v>0</v>
      </c>
      <c r="D2" t="s">
        <v>350</v>
      </c>
    </row>
    <row r="3" spans="1:4">
      <c r="A3" s="2">
        <v>2</v>
      </c>
      <c r="B3" t="s">
        <v>73</v>
      </c>
      <c r="C3" s="2" t="s">
        <v>0</v>
      </c>
      <c r="D3" t="s">
        <v>345</v>
      </c>
    </row>
    <row r="4" spans="1:4">
      <c r="A4" s="2">
        <v>3</v>
      </c>
      <c r="B4" t="s">
        <v>1</v>
      </c>
      <c r="C4" s="2" t="s">
        <v>0</v>
      </c>
      <c r="D4" t="s">
        <v>345</v>
      </c>
    </row>
    <row r="5" spans="1:4">
      <c r="A5" s="2">
        <v>4</v>
      </c>
      <c r="B5" t="s">
        <v>27</v>
      </c>
      <c r="C5" s="2" t="s">
        <v>0</v>
      </c>
      <c r="D5" t="s">
        <v>344</v>
      </c>
    </row>
    <row r="6" spans="1:4">
      <c r="A6" s="2">
        <v>5</v>
      </c>
      <c r="B6" t="s">
        <v>44</v>
      </c>
      <c r="C6" s="2" t="s">
        <v>0</v>
      </c>
      <c r="D6" t="s">
        <v>346</v>
      </c>
    </row>
    <row r="7" spans="1:4">
      <c r="A7" s="2">
        <v>6</v>
      </c>
      <c r="B7" t="s">
        <v>75</v>
      </c>
      <c r="C7" s="2" t="s">
        <v>0</v>
      </c>
      <c r="D7" t="s">
        <v>531</v>
      </c>
    </row>
    <row r="8" spans="1:4">
      <c r="A8" s="2">
        <v>7</v>
      </c>
      <c r="B8" t="s">
        <v>94</v>
      </c>
      <c r="C8" s="2" t="s">
        <v>0</v>
      </c>
      <c r="D8" t="s">
        <v>532</v>
      </c>
    </row>
    <row r="9" spans="1:4">
      <c r="A9" s="2">
        <v>8</v>
      </c>
      <c r="B9" t="s">
        <v>99</v>
      </c>
      <c r="C9" s="2" t="s">
        <v>0</v>
      </c>
      <c r="D9" t="s">
        <v>533</v>
      </c>
    </row>
    <row r="10" spans="1:4">
      <c r="A10" s="2">
        <v>9</v>
      </c>
      <c r="B10" t="s">
        <v>77</v>
      </c>
      <c r="C10" s="2" t="s">
        <v>0</v>
      </c>
      <c r="D10" t="s">
        <v>534</v>
      </c>
    </row>
    <row r="11" spans="1:4">
      <c r="A11" s="2">
        <v>10</v>
      </c>
      <c r="B11" t="s">
        <v>97</v>
      </c>
      <c r="C11" s="2" t="s">
        <v>0</v>
      </c>
      <c r="D11" t="s">
        <v>535</v>
      </c>
    </row>
    <row r="12" spans="1:4">
      <c r="A12" s="2">
        <v>11</v>
      </c>
      <c r="B12" t="s">
        <v>85</v>
      </c>
      <c r="C12" s="2" t="s">
        <v>0</v>
      </c>
      <c r="D12" t="s">
        <v>348</v>
      </c>
    </row>
    <row r="13" spans="1:4">
      <c r="A13" s="2">
        <v>12</v>
      </c>
      <c r="B13" t="s">
        <v>54</v>
      </c>
      <c r="C13" s="2" t="s">
        <v>0</v>
      </c>
      <c r="D13" t="s">
        <v>347</v>
      </c>
    </row>
    <row r="14" spans="1:4">
      <c r="A14" s="2">
        <v>13</v>
      </c>
      <c r="B14" t="s">
        <v>256</v>
      </c>
      <c r="C14" s="2" t="s">
        <v>0</v>
      </c>
      <c r="D14" t="s">
        <v>349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6FF46-87FC-4CFF-9755-7AFD327BDB0D}">
  <sheetPr codeName="Sheet6"/>
  <dimension ref="A1:G103"/>
  <sheetViews>
    <sheetView topLeftCell="A10" zoomScale="130" zoomScaleNormal="130" workbookViewId="0">
      <selection activeCell="F62" sqref="F62"/>
    </sheetView>
  </sheetViews>
  <sheetFormatPr defaultRowHeight="15"/>
  <cols>
    <col min="1" max="1" width="4.85546875" style="2" customWidth="1"/>
    <col min="2" max="2" width="13.5703125" bestFit="1" customWidth="1"/>
    <col min="3" max="3" width="21.85546875" bestFit="1" customWidth="1"/>
    <col min="4" max="4" width="22.5703125" bestFit="1" customWidth="1"/>
    <col min="5" max="5" width="5.85546875" bestFit="1" customWidth="1"/>
    <col min="6" max="6" width="7.5703125" bestFit="1" customWidth="1"/>
    <col min="7" max="7" width="137.5703125" bestFit="1" customWidth="1"/>
  </cols>
  <sheetData>
    <row r="1" spans="1:7">
      <c r="A1" s="21" t="s">
        <v>558</v>
      </c>
      <c r="B1" s="21" t="s">
        <v>0</v>
      </c>
      <c r="C1" s="21" t="s">
        <v>901</v>
      </c>
      <c r="D1" s="21" t="s">
        <v>322</v>
      </c>
      <c r="E1" s="21" t="s">
        <v>329</v>
      </c>
      <c r="F1" s="21" t="s">
        <v>330</v>
      </c>
      <c r="G1" s="21" t="s">
        <v>207</v>
      </c>
    </row>
    <row r="2" spans="1:7">
      <c r="A2" s="2">
        <v>1</v>
      </c>
      <c r="B2" t="str">
        <f>IF(ISBLANK(_model_fields!A3),B1, _model_fields!A3)</f>
        <v>ExtendedUser</v>
      </c>
      <c r="C2" t="str">
        <f>_model_fields!B3</f>
        <v>base_user</v>
      </c>
      <c r="D2" t="str">
        <f ca="1">_model_fields!D3</f>
        <v>models.OneToOneField</v>
      </c>
      <c r="E2" t="str">
        <f ca="1">_model_fields!K3</f>
        <v/>
      </c>
      <c r="F2" t="str">
        <f ca="1">_model_fields!L3</f>
        <v/>
      </c>
      <c r="G2" t="str">
        <f ca="1">_model_fields!U3</f>
        <v>base_user = models.OneToOneField(User, on_delete=models.CASCADE, primary_key=True)</v>
      </c>
    </row>
    <row r="3" spans="1:7">
      <c r="A3" s="2">
        <v>2</v>
      </c>
      <c r="B3" t="str">
        <f>IF(ISBLANK(_model_fields!A4),B2, _model_fields!A4)</f>
        <v>Employee</v>
      </c>
      <c r="C3" t="str">
        <f>_model_fields!B4</f>
        <v>user</v>
      </c>
      <c r="D3" t="str">
        <f ca="1">_model_fields!D4</f>
        <v>models.OneToOneField</v>
      </c>
      <c r="E3" t="str">
        <f ca="1">_model_fields!K4</f>
        <v/>
      </c>
      <c r="F3" t="str">
        <f ca="1">_model_fields!L4</f>
        <v/>
      </c>
      <c r="G3" t="str">
        <f ca="1">_model_fields!U4</f>
        <v>user = models.OneToOneField(ExtendedUser, on_delete=models.CASCADE, primary_key=True)</v>
      </c>
    </row>
    <row r="4" spans="1:7">
      <c r="A4" s="2">
        <v>3</v>
      </c>
      <c r="B4" t="str">
        <f>IF(ISBLANK(_model_fields!A5),B3, _model_fields!A5)</f>
        <v>Employee</v>
      </c>
      <c r="C4" t="str">
        <f>_model_fields!B5</f>
        <v>address</v>
      </c>
      <c r="D4" t="str">
        <f ca="1">_model_fields!D5</f>
        <v>models.CharField</v>
      </c>
      <c r="E4" t="str">
        <f ca="1">_model_fields!K5</f>
        <v>True</v>
      </c>
      <c r="F4" t="str">
        <f ca="1">_model_fields!L5</f>
        <v>''</v>
      </c>
      <c r="G4" t="str">
        <f ca="1">_model_fields!U5</f>
        <v>address = models.CharField(max_length=100, blank=True, default='', null=False)</v>
      </c>
    </row>
    <row r="5" spans="1:7">
      <c r="A5" s="2">
        <v>4</v>
      </c>
      <c r="B5" t="str">
        <f>IF(ISBLANK(_model_fields!A6),B4, _model_fields!A6)</f>
        <v>Employee</v>
      </c>
      <c r="C5" t="str">
        <f>_model_fields!B6</f>
        <v>address2</v>
      </c>
      <c r="D5" t="str">
        <f ca="1">_model_fields!D6</f>
        <v>models.CharField</v>
      </c>
      <c r="E5" t="str">
        <f ca="1">_model_fields!K6</f>
        <v>True</v>
      </c>
      <c r="F5" t="str">
        <f ca="1">_model_fields!L6</f>
        <v>''</v>
      </c>
      <c r="G5" t="str">
        <f ca="1">_model_fields!U6</f>
        <v>address2 = models.CharField(max_length=100, blank=True, default='', null=False)</v>
      </c>
    </row>
    <row r="6" spans="1:7">
      <c r="A6" s="2">
        <v>5</v>
      </c>
      <c r="B6" t="str">
        <f>IF(ISBLANK(_model_fields!A7),B5, _model_fields!A7)</f>
        <v>Employee</v>
      </c>
      <c r="C6" t="str">
        <f>_model_fields!B7</f>
        <v>city</v>
      </c>
      <c r="D6" t="str">
        <f ca="1">_model_fields!D7</f>
        <v>models.CharField</v>
      </c>
      <c r="E6" t="str">
        <f ca="1">_model_fields!K7</f>
        <v>True</v>
      </c>
      <c r="F6" t="str">
        <f ca="1">_model_fields!L7</f>
        <v>''</v>
      </c>
      <c r="G6" t="str">
        <f ca="1">_model_fields!U7</f>
        <v>city = models.CharField(max_length=30, blank=True, default='', null=False)</v>
      </c>
    </row>
    <row r="7" spans="1:7">
      <c r="A7" s="2">
        <v>6</v>
      </c>
      <c r="B7" t="str">
        <f>IF(ISBLANK(_model_fields!A8),B6, _model_fields!A8)</f>
        <v>Employee</v>
      </c>
      <c r="C7" t="str">
        <f>_model_fields!B8</f>
        <v>state</v>
      </c>
      <c r="D7" t="str">
        <f ca="1">_model_fields!D8</f>
        <v>models.CharField</v>
      </c>
      <c r="E7" t="str">
        <f ca="1">_model_fields!K8</f>
        <v>True</v>
      </c>
      <c r="F7" t="str">
        <f ca="1">_model_fields!L8</f>
        <v>''</v>
      </c>
      <c r="G7" t="str">
        <f ca="1">_model_fields!U8</f>
        <v>state = models.CharField(max_length=2, blank=True, default='', null=False, choices=ST_LIST)</v>
      </c>
    </row>
    <row r="8" spans="1:7">
      <c r="A8" s="2">
        <v>7</v>
      </c>
      <c r="B8" t="str">
        <f>IF(ISBLANK(_model_fields!A9),B7, _model_fields!A9)</f>
        <v>Employee</v>
      </c>
      <c r="C8" t="str">
        <f>_model_fields!B9</f>
        <v>zip</v>
      </c>
      <c r="D8" t="str">
        <f ca="1">_model_fields!D9</f>
        <v>models.CharField</v>
      </c>
      <c r="E8" t="str">
        <f ca="1">_model_fields!K9</f>
        <v>True</v>
      </c>
      <c r="F8" t="str">
        <f ca="1">_model_fields!L9</f>
        <v>''</v>
      </c>
      <c r="G8" t="str">
        <f ca="1">_model_fields!U9</f>
        <v>zip = models.CharField(max_length=5, blank=True, default='', null=False)</v>
      </c>
    </row>
    <row r="9" spans="1:7">
      <c r="A9" s="2">
        <v>8</v>
      </c>
      <c r="B9" t="str">
        <f>IF(ISBLANK(_model_fields!A10),B8, _model_fields!A10)</f>
        <v>Employee</v>
      </c>
      <c r="C9" t="str">
        <f>_model_fields!B10</f>
        <v>phone</v>
      </c>
      <c r="D9" t="str">
        <f ca="1">_model_fields!D10</f>
        <v>PhoneNumberField</v>
      </c>
      <c r="E9" t="str">
        <f ca="1">_model_fields!K10</f>
        <v>True</v>
      </c>
      <c r="F9" t="str">
        <f ca="1">_model_fields!L10</f>
        <v/>
      </c>
      <c r="G9" t="str">
        <f ca="1">_model_fields!U10</f>
        <v>phone = PhoneNumberField(blank=True, region='US')</v>
      </c>
    </row>
    <row r="10" spans="1:7">
      <c r="A10" s="2">
        <v>9</v>
      </c>
      <c r="B10" t="str">
        <f>IF(ISBLANK(_model_fields!A11),B9, _model_fields!A11)</f>
        <v>Employee</v>
      </c>
      <c r="C10" t="str">
        <f>_model_fields!B11</f>
        <v>date_of_birth</v>
      </c>
      <c r="D10" t="str">
        <f ca="1">_model_fields!D11</f>
        <v>models.DateField</v>
      </c>
      <c r="E10" t="str">
        <f ca="1">_model_fields!K11</f>
        <v>True</v>
      </c>
      <c r="F10" t="str">
        <f ca="1">_model_fields!L11</f>
        <v>None</v>
      </c>
      <c r="G10" t="str">
        <f ca="1">_model_fields!U11</f>
        <v>date_of_birth = models.DateField(blank=True, default=None, null=True)</v>
      </c>
    </row>
    <row r="11" spans="1:7">
      <c r="A11" s="2">
        <v>10</v>
      </c>
      <c r="B11" t="str">
        <f>IF(ISBLANK(_model_fields!A12),B10, _model_fields!A12)</f>
        <v>Employee</v>
      </c>
      <c r="C11" t="str">
        <f>_model_fields!B12</f>
        <v>ice1_fname</v>
      </c>
      <c r="D11" t="str">
        <f ca="1">_model_fields!D12</f>
        <v>models.CharField</v>
      </c>
      <c r="E11" t="str">
        <f ca="1">_model_fields!K12</f>
        <v>True</v>
      </c>
      <c r="F11" t="str">
        <f ca="1">_model_fields!L12</f>
        <v>''</v>
      </c>
      <c r="G11" t="str">
        <f ca="1">_model_fields!U12</f>
        <v>ice1_fname = models.CharField(max_length=30, blank=True, default='', null=False)</v>
      </c>
    </row>
    <row r="12" spans="1:7">
      <c r="A12" s="2">
        <v>11</v>
      </c>
      <c r="B12" t="str">
        <f>IF(ISBLANK(_model_fields!A13),B11, _model_fields!A13)</f>
        <v>Employee</v>
      </c>
      <c r="C12" t="str">
        <f>_model_fields!B13</f>
        <v>ice1_lname</v>
      </c>
      <c r="D12" t="str">
        <f ca="1">_model_fields!D13</f>
        <v>models.CharField</v>
      </c>
      <c r="E12" t="str">
        <f ca="1">_model_fields!K13</f>
        <v>True</v>
      </c>
      <c r="F12" t="str">
        <f ca="1">_model_fields!L13</f>
        <v>''</v>
      </c>
      <c r="G12" t="str">
        <f ca="1">_model_fields!U13</f>
        <v>ice1_lname = models.CharField(max_length=30, blank=True, default='', null=False)</v>
      </c>
    </row>
    <row r="13" spans="1:7">
      <c r="A13" s="2">
        <v>12</v>
      </c>
      <c r="B13" t="str">
        <f>IF(ISBLANK(_model_fields!A14),B12, _model_fields!A14)</f>
        <v>Employee</v>
      </c>
      <c r="C13" t="str">
        <f>_model_fields!B14</f>
        <v>ice1_phone</v>
      </c>
      <c r="D13" t="str">
        <f ca="1">_model_fields!D14</f>
        <v>PhoneNumberField</v>
      </c>
      <c r="E13" t="str">
        <f ca="1">_model_fields!K14</f>
        <v>True</v>
      </c>
      <c r="F13" t="str">
        <f ca="1">_model_fields!L14</f>
        <v/>
      </c>
      <c r="G13" t="str">
        <f ca="1">_model_fields!U14</f>
        <v>ice1_phone = PhoneNumberField(blank=True, region='US')</v>
      </c>
    </row>
    <row r="14" spans="1:7">
      <c r="A14" s="2">
        <v>13</v>
      </c>
      <c r="B14" t="str">
        <f>IF(ISBLANK(_model_fields!A15),B13, _model_fields!A15)</f>
        <v>Employee</v>
      </c>
      <c r="C14" t="str">
        <f>_model_fields!B15</f>
        <v>ice1_relationship</v>
      </c>
      <c r="D14" t="str">
        <f ca="1">_model_fields!D15</f>
        <v>models.CharField</v>
      </c>
      <c r="E14" t="str">
        <f ca="1">_model_fields!K15</f>
        <v>True</v>
      </c>
      <c r="F14" t="str">
        <f ca="1">_model_fields!L15</f>
        <v>''</v>
      </c>
      <c r="G14" t="str">
        <f ca="1">_model_fields!U15</f>
        <v>ice1_relationship = models.CharField(max_length=30, blank=True, default='', null=False)</v>
      </c>
    </row>
    <row r="15" spans="1:7">
      <c r="A15" s="2">
        <v>14</v>
      </c>
      <c r="B15" t="str">
        <f>IF(ISBLANK(_model_fields!A16),B14, _model_fields!A16)</f>
        <v>Employee</v>
      </c>
      <c r="C15" t="str">
        <f>_model_fields!B16</f>
        <v>ice2_fname</v>
      </c>
      <c r="D15" t="str">
        <f ca="1">_model_fields!D16</f>
        <v>models.CharField</v>
      </c>
      <c r="E15" t="str">
        <f ca="1">_model_fields!K16</f>
        <v>True</v>
      </c>
      <c r="F15" t="str">
        <f ca="1">_model_fields!L16</f>
        <v>''</v>
      </c>
      <c r="G15" t="str">
        <f ca="1">_model_fields!U16</f>
        <v>ice2_fname = models.CharField(max_length=30, blank=True, default='', null=False)</v>
      </c>
    </row>
    <row r="16" spans="1:7">
      <c r="A16" s="2">
        <v>15</v>
      </c>
      <c r="B16" t="str">
        <f>IF(ISBLANK(_model_fields!A17),B15, _model_fields!A17)</f>
        <v>Employee</v>
      </c>
      <c r="C16" t="str">
        <f>_model_fields!B17</f>
        <v>ice2_lname</v>
      </c>
      <c r="D16" t="str">
        <f ca="1">_model_fields!D17</f>
        <v>models.CharField</v>
      </c>
      <c r="E16" t="str">
        <f ca="1">_model_fields!K17</f>
        <v>True</v>
      </c>
      <c r="F16" t="str">
        <f ca="1">_model_fields!L17</f>
        <v>''</v>
      </c>
      <c r="G16" t="str">
        <f ca="1">_model_fields!U17</f>
        <v>ice2_lname = models.CharField(max_length=30, blank=True, default='', null=False)</v>
      </c>
    </row>
    <row r="17" spans="1:7">
      <c r="A17" s="2">
        <v>16</v>
      </c>
      <c r="B17" t="str">
        <f>IF(ISBLANK(_model_fields!A18),B16, _model_fields!A18)</f>
        <v>Employee</v>
      </c>
      <c r="C17" t="str">
        <f>_model_fields!B18</f>
        <v>ice2_phone</v>
      </c>
      <c r="D17" t="str">
        <f ca="1">_model_fields!D18</f>
        <v>PhoneNumberField</v>
      </c>
      <c r="E17" t="str">
        <f ca="1">_model_fields!K18</f>
        <v>True</v>
      </c>
      <c r="F17" t="str">
        <f ca="1">_model_fields!L18</f>
        <v/>
      </c>
      <c r="G17" t="str">
        <f ca="1">_model_fields!U18</f>
        <v>ice2_phone = PhoneNumberField(blank=True, region='US')</v>
      </c>
    </row>
    <row r="18" spans="1:7">
      <c r="A18" s="2">
        <v>17</v>
      </c>
      <c r="B18" t="str">
        <f>IF(ISBLANK(_model_fields!A19),B17, _model_fields!A19)</f>
        <v>Employee</v>
      </c>
      <c r="C18" t="str">
        <f>_model_fields!B19</f>
        <v>ice2_relationship</v>
      </c>
      <c r="D18" t="str">
        <f ca="1">_model_fields!D19</f>
        <v>models.CharField</v>
      </c>
      <c r="E18" t="str">
        <f ca="1">_model_fields!K19</f>
        <v>True</v>
      </c>
      <c r="F18" t="str">
        <f ca="1">_model_fields!L19</f>
        <v>''</v>
      </c>
      <c r="G18" t="str">
        <f ca="1">_model_fields!U19</f>
        <v>ice2_relationship = models.CharField(max_length=30, blank=True, default='', null=False)</v>
      </c>
    </row>
    <row r="19" spans="1:7">
      <c r="A19" s="2">
        <v>18</v>
      </c>
      <c r="B19" t="str">
        <f>IF(ISBLANK(_model_fields!A20),B18, _model_fields!A20)</f>
        <v>Employee</v>
      </c>
      <c r="C19" t="str">
        <f>_model_fields!B20</f>
        <v>exit_reason</v>
      </c>
      <c r="D19" t="str">
        <f ca="1">_model_fields!D20</f>
        <v>models.CharField</v>
      </c>
      <c r="E19" t="str">
        <f ca="1">_model_fields!K20</f>
        <v>True</v>
      </c>
      <c r="F19" t="str">
        <f ca="1">_model_fields!L20</f>
        <v>''</v>
      </c>
      <c r="G19" t="str">
        <f ca="1">_model_fields!U20</f>
        <v>exit_reason = models.CharField(max_length=100, blank=True, default='', null=False)</v>
      </c>
    </row>
    <row r="20" spans="1:7">
      <c r="A20" s="2">
        <v>19</v>
      </c>
      <c r="B20" t="str">
        <f>IF(ISBLANK(_model_fields!A21),B19, _model_fields!A21)</f>
        <v>Employee</v>
      </c>
      <c r="C20" t="str">
        <f>_model_fields!B21</f>
        <v>start_date</v>
      </c>
      <c r="D20" t="str">
        <f ca="1">_model_fields!D21</f>
        <v>models.DateField</v>
      </c>
      <c r="E20" t="str">
        <f ca="1">_model_fields!K21</f>
        <v>True</v>
      </c>
      <c r="F20" t="str">
        <f ca="1">_model_fields!L21</f>
        <v>DEFAULT_START_DATE</v>
      </c>
      <c r="G20" t="str">
        <f ca="1">_model_fields!U21</f>
        <v>start_date = models.DateField(blank=True, default=DEFAULT_START_DATE, null=False)</v>
      </c>
    </row>
    <row r="21" spans="1:7">
      <c r="A21" s="2">
        <v>20</v>
      </c>
      <c r="B21" t="str">
        <f>IF(ISBLANK(_model_fields!A22),B20, _model_fields!A22)</f>
        <v>Employee</v>
      </c>
      <c r="C21" t="str">
        <f>_model_fields!B22</f>
        <v>end_date</v>
      </c>
      <c r="D21" t="str">
        <f ca="1">_model_fields!D22</f>
        <v>models.DateField</v>
      </c>
      <c r="E21" t="str">
        <f ca="1">_model_fields!K22</f>
        <v>True</v>
      </c>
      <c r="F21" t="str">
        <f ca="1">_model_fields!L22</f>
        <v>DEFAULT_END_DATE</v>
      </c>
      <c r="G21" t="str">
        <f ca="1">_model_fields!U22</f>
        <v>end_date = models.DateField(blank=True, default=DEFAULT_END_DATE, null=False)</v>
      </c>
    </row>
    <row r="22" spans="1:7">
      <c r="A22" s="2">
        <v>21</v>
      </c>
      <c r="B22" t="str">
        <f>IF(ISBLANK(_model_fields!A23),B21, _model_fields!A23)</f>
        <v>Employee</v>
      </c>
      <c r="C22" t="str">
        <f>_model_fields!B23</f>
        <v>title</v>
      </c>
      <c r="D22" t="str">
        <f ca="1">_model_fields!D23</f>
        <v>models.CharField</v>
      </c>
      <c r="E22" t="str">
        <f ca="1">_model_fields!K23</f>
        <v>True</v>
      </c>
      <c r="F22" t="str">
        <f ca="1">_model_fields!L23</f>
        <v>''</v>
      </c>
      <c r="G22" t="str">
        <f ca="1">_model_fields!U23</f>
        <v>title = models.CharField(max_length=30, blank=True, default='', null=False)</v>
      </c>
    </row>
    <row r="23" spans="1:7">
      <c r="A23" s="2">
        <v>22</v>
      </c>
      <c r="B23" t="str">
        <f>IF(ISBLANK(_model_fields!A24),B22, _model_fields!A24)</f>
        <v>Employee</v>
      </c>
      <c r="C23" t="str">
        <f>_model_fields!B24</f>
        <v>hourly_rate</v>
      </c>
      <c r="D23" t="str">
        <f ca="1">_model_fields!D24</f>
        <v>models.DecimalField</v>
      </c>
      <c r="E23" t="str">
        <f ca="1">_model_fields!K24</f>
        <v>True</v>
      </c>
      <c r="F23" t="str">
        <f ca="1">_model_fields!L24</f>
        <v>None</v>
      </c>
      <c r="G23" t="str">
        <f ca="1">_model_fields!U24</f>
        <v>hourly_rate = models.DecimalField(blank=True, default=None, null=True, max_digits=8, decimal_places=2)</v>
      </c>
    </row>
    <row r="24" spans="1:7">
      <c r="A24" s="2">
        <v>23</v>
      </c>
      <c r="B24" t="str">
        <f>IF(ISBLANK(_model_fields!A25),B23, _model_fields!A25)</f>
        <v>Employee</v>
      </c>
      <c r="C24" t="str">
        <f>_model_fields!B25</f>
        <v>image</v>
      </c>
      <c r="D24" t="str">
        <f ca="1">_model_fields!D25</f>
        <v>models.ImageField</v>
      </c>
      <c r="E24" t="str">
        <f ca="1">_model_fields!K25</f>
        <v>True</v>
      </c>
      <c r="F24" t="str">
        <f ca="1">_model_fields!L25</f>
        <v>''</v>
      </c>
      <c r="G24" t="str">
        <f ca="1">_model_fields!U25</f>
        <v>image = models.ImageField(blank=True, default='', null=False, upload_to=EMP_IMG)</v>
      </c>
    </row>
    <row r="25" spans="1:7">
      <c r="A25" s="2">
        <v>24</v>
      </c>
      <c r="B25" t="str">
        <f>IF(ISBLANK(_model_fields!A26),B24, _model_fields!A26)</f>
        <v>Shopper</v>
      </c>
      <c r="C25" t="str">
        <f>_model_fields!B26</f>
        <v>user</v>
      </c>
      <c r="D25" t="str">
        <f ca="1">_model_fields!D26</f>
        <v>models.OneToOneField</v>
      </c>
      <c r="E25" t="str">
        <f ca="1">_model_fields!K26</f>
        <v/>
      </c>
      <c r="F25" t="str">
        <f ca="1">_model_fields!L26</f>
        <v/>
      </c>
      <c r="G25" t="str">
        <f ca="1">_model_fields!U26</f>
        <v>user = models.OneToOneField(ExtendedUser, on_delete=models.CASCADE, primary_key=True)</v>
      </c>
    </row>
    <row r="26" spans="1:7">
      <c r="A26" s="2">
        <v>25</v>
      </c>
      <c r="B26" t="str">
        <f>IF(ISBLANK(_model_fields!A27),B25, _model_fields!A27)</f>
        <v>Shopper</v>
      </c>
      <c r="C26" t="str">
        <f>_model_fields!B27</f>
        <v>waiver_image</v>
      </c>
      <c r="D26" t="str">
        <f ca="1">_model_fields!D27</f>
        <v>models.ImageField</v>
      </c>
      <c r="E26" t="str">
        <f ca="1">_model_fields!K27</f>
        <v>True</v>
      </c>
      <c r="F26" t="str">
        <f ca="1">_model_fields!L27</f>
        <v>''</v>
      </c>
      <c r="G26" t="str">
        <f ca="1">_model_fields!U27</f>
        <v>waiver_image = models.ImageField(blank=True, default='', null=False, upload_to=SHP_WAV)</v>
      </c>
    </row>
    <row r="27" spans="1:7">
      <c r="A27" s="2">
        <v>26</v>
      </c>
      <c r="B27" t="str">
        <f>IF(ISBLANK(_model_fields!A28),B26, _model_fields!A28)</f>
        <v>Shopper</v>
      </c>
      <c r="C27" t="str">
        <f>_model_fields!B28</f>
        <v>waiver_date</v>
      </c>
      <c r="D27" t="str">
        <f ca="1">_model_fields!D28</f>
        <v>models.DateField</v>
      </c>
      <c r="E27" t="str">
        <f ca="1">_model_fields!K28</f>
        <v>True</v>
      </c>
      <c r="F27" t="str">
        <f ca="1">_model_fields!L28</f>
        <v>None</v>
      </c>
      <c r="G27" t="str">
        <f ca="1">_model_fields!U28</f>
        <v>waiver_date = models.DateField(blank=True, default=None, null=True)</v>
      </c>
    </row>
    <row r="28" spans="1:7">
      <c r="A28" s="2">
        <v>27</v>
      </c>
      <c r="B28" t="str">
        <f>IF(ISBLANK(_model_fields!A29),B27, _model_fields!A29)</f>
        <v>Shopper</v>
      </c>
      <c r="C28" t="str">
        <f>_model_fields!B29</f>
        <v>email_preferences</v>
      </c>
      <c r="D28" t="str">
        <f ca="1">_model_fields!D29</f>
        <v>models.CharField</v>
      </c>
      <c r="E28" t="str">
        <f ca="1">_model_fields!K29</f>
        <v>True</v>
      </c>
      <c r="F28" t="str">
        <f ca="1">_model_fields!L29</f>
        <v>''</v>
      </c>
      <c r="G28" t="str">
        <f ca="1">_model_fields!U29</f>
        <v>email_preferences = models.CharField(max_length=50, blank=True, default='', null=False, choices=EMAIL_PREFERENCES_LIST)</v>
      </c>
    </row>
    <row r="29" spans="1:7">
      <c r="A29" s="2">
        <v>28</v>
      </c>
      <c r="B29" t="str">
        <f>IF(ISBLANK(_model_fields!A30),B28, _model_fields!A30)</f>
        <v>Consignor</v>
      </c>
      <c r="C29" t="str">
        <f>_model_fields!B30</f>
        <v>user</v>
      </c>
      <c r="D29" t="str">
        <f ca="1">_model_fields!D30</f>
        <v>models.OneToOneField</v>
      </c>
      <c r="E29" t="str">
        <f ca="1">_model_fields!K30</f>
        <v/>
      </c>
      <c r="F29" t="str">
        <f ca="1">_model_fields!L30</f>
        <v/>
      </c>
      <c r="G29" t="str">
        <f ca="1">_model_fields!U30</f>
        <v>user = models.OneToOneField(ExtendedUser, on_delete=models.CASCADE, primary_key=True)</v>
      </c>
    </row>
    <row r="30" spans="1:7">
      <c r="A30" s="2">
        <v>29</v>
      </c>
      <c r="B30" t="str">
        <f>IF(ISBLANK(_model_fields!A31),B29, _model_fields!A31)</f>
        <v>Consignor</v>
      </c>
      <c r="C30" t="str">
        <f>_model_fields!B31</f>
        <v>address</v>
      </c>
      <c r="D30" t="str">
        <f ca="1">_model_fields!D31</f>
        <v>models.CharField</v>
      </c>
      <c r="E30" t="str">
        <f ca="1">_model_fields!K31</f>
        <v>True</v>
      </c>
      <c r="F30" t="str">
        <f ca="1">_model_fields!L31</f>
        <v>''</v>
      </c>
      <c r="G30" t="str">
        <f ca="1">_model_fields!U31</f>
        <v>address = models.CharField(max_length=100, blank=True, default='', null=False)</v>
      </c>
    </row>
    <row r="31" spans="1:7">
      <c r="A31" s="2">
        <v>30</v>
      </c>
      <c r="B31" t="str">
        <f>IF(ISBLANK(_model_fields!A32),B30, _model_fields!A32)</f>
        <v>Consignor</v>
      </c>
      <c r="C31" t="str">
        <f>_model_fields!B32</f>
        <v>address2</v>
      </c>
      <c r="D31" t="str">
        <f ca="1">_model_fields!D32</f>
        <v>models.CharField</v>
      </c>
      <c r="E31" t="str">
        <f ca="1">_model_fields!K32</f>
        <v>True</v>
      </c>
      <c r="F31" t="str">
        <f ca="1">_model_fields!L32</f>
        <v>''</v>
      </c>
      <c r="G31" t="str">
        <f ca="1">_model_fields!U32</f>
        <v>address2 = models.CharField(max_length=100, blank=True, default='', null=False)</v>
      </c>
    </row>
    <row r="32" spans="1:7">
      <c r="A32" s="2">
        <v>31</v>
      </c>
      <c r="B32" t="str">
        <f>IF(ISBLANK(_model_fields!A33),B31, _model_fields!A33)</f>
        <v>Consignor</v>
      </c>
      <c r="C32" t="str">
        <f>_model_fields!B33</f>
        <v>city</v>
      </c>
      <c r="D32" t="str">
        <f ca="1">_model_fields!D33</f>
        <v>models.CharField</v>
      </c>
      <c r="E32" t="str">
        <f ca="1">_model_fields!K33</f>
        <v>True</v>
      </c>
      <c r="F32" t="str">
        <f ca="1">_model_fields!L33</f>
        <v>''</v>
      </c>
      <c r="G32" t="str">
        <f ca="1">_model_fields!U33</f>
        <v>city = models.CharField(max_length=30, blank=True, default='', null=False)</v>
      </c>
    </row>
    <row r="33" spans="1:7">
      <c r="A33" s="2">
        <v>32</v>
      </c>
      <c r="B33" t="str">
        <f>IF(ISBLANK(_model_fields!A34),B32, _model_fields!A34)</f>
        <v>Consignor</v>
      </c>
      <c r="C33" t="str">
        <f>_model_fields!B34</f>
        <v>state</v>
      </c>
      <c r="D33" t="str">
        <f ca="1">_model_fields!D34</f>
        <v>models.CharField</v>
      </c>
      <c r="E33" t="str">
        <f ca="1">_model_fields!K34</f>
        <v>True</v>
      </c>
      <c r="F33" t="str">
        <f ca="1">_model_fields!L34</f>
        <v>''</v>
      </c>
      <c r="G33" t="str">
        <f ca="1">_model_fields!U34</f>
        <v>state = models.CharField(max_length=2, blank=True, default='', null=False, choices=ST_LIST)</v>
      </c>
    </row>
    <row r="34" spans="1:7">
      <c r="A34" s="2">
        <v>33</v>
      </c>
      <c r="B34" t="str">
        <f>IF(ISBLANK(_model_fields!A35),B33, _model_fields!A35)</f>
        <v>Consignor</v>
      </c>
      <c r="C34" t="str">
        <f>_model_fields!B35</f>
        <v>zip</v>
      </c>
      <c r="D34" t="str">
        <f ca="1">_model_fields!D35</f>
        <v>models.CharField</v>
      </c>
      <c r="E34" t="str">
        <f ca="1">_model_fields!K35</f>
        <v>True</v>
      </c>
      <c r="F34" t="str">
        <f ca="1">_model_fields!L35</f>
        <v>''</v>
      </c>
      <c r="G34" t="str">
        <f ca="1">_model_fields!U35</f>
        <v>zip = models.CharField(max_length=5, blank=True, default='', null=False)</v>
      </c>
    </row>
    <row r="35" spans="1:7">
      <c r="A35" s="2">
        <v>34</v>
      </c>
      <c r="B35" t="str">
        <f>IF(ISBLANK(_model_fields!A36),B34, _model_fields!A36)</f>
        <v>Consignor</v>
      </c>
      <c r="C35" t="str">
        <f>_model_fields!B36</f>
        <v>phone</v>
      </c>
      <c r="D35" t="str">
        <f ca="1">_model_fields!D36</f>
        <v>PhoneNumberField</v>
      </c>
      <c r="E35" t="str">
        <f ca="1">_model_fields!K36</f>
        <v>True</v>
      </c>
      <c r="F35" t="str">
        <f ca="1">_model_fields!L36</f>
        <v/>
      </c>
      <c r="G35" t="str">
        <f ca="1">_model_fields!U36</f>
        <v>phone = PhoneNumberField(blank=True, region='US')</v>
      </c>
    </row>
    <row r="36" spans="1:7">
      <c r="A36" s="2">
        <v>35</v>
      </c>
      <c r="B36" t="str">
        <f>IF(ISBLANK(_model_fields!A37),B35, _model_fields!A37)</f>
        <v>Consignor</v>
      </c>
      <c r="C36" t="str">
        <f>_model_fields!B37</f>
        <v>waiver_image</v>
      </c>
      <c r="D36" t="str">
        <f ca="1">_model_fields!D37</f>
        <v>models.ImageField</v>
      </c>
      <c r="E36" t="str">
        <f ca="1">_model_fields!K37</f>
        <v>True</v>
      </c>
      <c r="F36" t="str">
        <f ca="1">_model_fields!L37</f>
        <v>''</v>
      </c>
      <c r="G36" t="str">
        <f ca="1">_model_fields!U37</f>
        <v>waiver_image = models.ImageField(blank=True, default='', null=False, upload_to=CON_WAV)</v>
      </c>
    </row>
    <row r="37" spans="1:7">
      <c r="A37" s="2">
        <v>36</v>
      </c>
      <c r="B37" t="str">
        <f>IF(ISBLANK(_model_fields!A38),B36, _model_fields!A38)</f>
        <v>Consignor</v>
      </c>
      <c r="C37" t="str">
        <f>_model_fields!B38</f>
        <v>waiver_date</v>
      </c>
      <c r="D37" t="str">
        <f ca="1">_model_fields!D38</f>
        <v>models.DateField</v>
      </c>
      <c r="E37" t="str">
        <f ca="1">_model_fields!K38</f>
        <v>True</v>
      </c>
      <c r="F37" t="str">
        <f ca="1">_model_fields!L38</f>
        <v>None</v>
      </c>
      <c r="G37" t="str">
        <f ca="1">_model_fields!U38</f>
        <v>waiver_date = models.DateField(blank=True, default=None, null=True)</v>
      </c>
    </row>
    <row r="38" spans="1:7">
      <c r="A38" s="2">
        <v>37</v>
      </c>
      <c r="B38" t="str">
        <f>IF(ISBLANK(_model_fields!A39),B37, _model_fields!A39)</f>
        <v>Consignor</v>
      </c>
      <c r="C38" t="str">
        <f>_model_fields!B39</f>
        <v>image</v>
      </c>
      <c r="D38" t="str">
        <f ca="1">_model_fields!D39</f>
        <v>models.ImageField</v>
      </c>
      <c r="E38" t="str">
        <f ca="1">_model_fields!K39</f>
        <v>True</v>
      </c>
      <c r="F38" t="str">
        <f ca="1">_model_fields!L39</f>
        <v>''</v>
      </c>
      <c r="G38" t="str">
        <f ca="1">_model_fields!U39</f>
        <v>image = models.ImageField(blank=True, default='', null=False, upload_to=CON_IMG)</v>
      </c>
    </row>
    <row r="39" spans="1:7">
      <c r="A39" s="2">
        <v>38</v>
      </c>
      <c r="B39" t="str">
        <f>IF(ISBLANK(_model_fields!A40),B38, _model_fields!A40)</f>
        <v>Consignor</v>
      </c>
      <c r="C39" t="str">
        <f>_model_fields!B40</f>
        <v>pid_type</v>
      </c>
      <c r="D39" t="str">
        <f ca="1">_model_fields!D40</f>
        <v>models.CharField</v>
      </c>
      <c r="E39" t="str">
        <f ca="1">_model_fields!K40</f>
        <v>True</v>
      </c>
      <c r="F39" t="str">
        <f ca="1">_model_fields!L40</f>
        <v>''</v>
      </c>
      <c r="G39" t="str">
        <f ca="1">_model_fields!U40</f>
        <v>pid_type = models.CharField(max_length=50, blank=True, default='', null=False, choices=PID_LIST)</v>
      </c>
    </row>
    <row r="40" spans="1:7">
      <c r="A40" s="2">
        <v>39</v>
      </c>
      <c r="B40" t="str">
        <f>IF(ISBLANK(_model_fields!A41),B39, _model_fields!A41)</f>
        <v>Consignor</v>
      </c>
      <c r="C40" t="str">
        <f>_model_fields!B41</f>
        <v>pid_image</v>
      </c>
      <c r="D40" t="str">
        <f ca="1">_model_fields!D41</f>
        <v>models.ImageField</v>
      </c>
      <c r="E40" t="str">
        <f ca="1">_model_fields!K41</f>
        <v>True</v>
      </c>
      <c r="F40" t="str">
        <f ca="1">_model_fields!L41</f>
        <v>''</v>
      </c>
      <c r="G40" t="str">
        <f ca="1">_model_fields!U41</f>
        <v>pid_image = models.ImageField(blank=True, default='', null=False, upload_to=CON_PID)</v>
      </c>
    </row>
    <row r="41" spans="1:7">
      <c r="A41" s="2">
        <v>40</v>
      </c>
      <c r="B41" t="str">
        <f>IF(ISBLANK(_model_fields!A42),B40, _model_fields!A42)</f>
        <v>Store</v>
      </c>
      <c r="C41" t="str">
        <f>_model_fields!B42</f>
        <v>general_manager</v>
      </c>
      <c r="D41" t="str">
        <f ca="1">_model_fields!D42</f>
        <v>models.ForeignKey</v>
      </c>
      <c r="E41" t="str">
        <f ca="1">_model_fields!K42</f>
        <v>False</v>
      </c>
      <c r="F41" t="str">
        <f ca="1">_model_fields!L42</f>
        <v>None</v>
      </c>
      <c r="G41" t="str">
        <f ca="1">_model_fields!U42</f>
        <v>general_manager = models.ForeignKey(Employee, on_delete=models.SET_NULL, blank=False, default=None, null=True)</v>
      </c>
    </row>
    <row r="42" spans="1:7">
      <c r="A42" s="2">
        <v>41</v>
      </c>
      <c r="B42" t="str">
        <f>IF(ISBLANK(_model_fields!A43),B41, _model_fields!A43)</f>
        <v>Store</v>
      </c>
      <c r="C42" t="str">
        <f>_model_fields!B43</f>
        <v>name</v>
      </c>
      <c r="D42" t="str">
        <f ca="1">_model_fields!D43</f>
        <v>models.CharField</v>
      </c>
      <c r="E42" t="str">
        <f ca="1">_model_fields!K43</f>
        <v>True</v>
      </c>
      <c r="F42" t="str">
        <f ca="1">_model_fields!L43</f>
        <v>''</v>
      </c>
      <c r="G42" t="str">
        <f ca="1">_model_fields!U43</f>
        <v>name = models.CharField(max_length=30, blank=True, default='', null=False)</v>
      </c>
    </row>
    <row r="43" spans="1:7">
      <c r="A43" s="2">
        <v>42</v>
      </c>
      <c r="B43" t="str">
        <f>IF(ISBLANK(_model_fields!A44),B42, _model_fields!A44)</f>
        <v>Store</v>
      </c>
      <c r="C43" t="str">
        <f>_model_fields!B44</f>
        <v>address</v>
      </c>
      <c r="D43" t="str">
        <f ca="1">_model_fields!D44</f>
        <v>models.CharField</v>
      </c>
      <c r="E43" t="str">
        <f ca="1">_model_fields!K44</f>
        <v>True</v>
      </c>
      <c r="F43" t="str">
        <f ca="1">_model_fields!L44</f>
        <v>''</v>
      </c>
      <c r="G43" t="str">
        <f ca="1">_model_fields!U44</f>
        <v>address = models.CharField(max_length=100, blank=True, default='', null=False)</v>
      </c>
    </row>
    <row r="44" spans="1:7">
      <c r="A44" s="2">
        <v>43</v>
      </c>
      <c r="B44" t="str">
        <f>IF(ISBLANK(_model_fields!A45),B43, _model_fields!A45)</f>
        <v>Store</v>
      </c>
      <c r="C44" t="str">
        <f>_model_fields!B45</f>
        <v>address2</v>
      </c>
      <c r="D44" t="str">
        <f ca="1">_model_fields!D45</f>
        <v>models.CharField</v>
      </c>
      <c r="E44" t="str">
        <f ca="1">_model_fields!K45</f>
        <v>True</v>
      </c>
      <c r="F44" t="str">
        <f ca="1">_model_fields!L45</f>
        <v>''</v>
      </c>
      <c r="G44" t="str">
        <f ca="1">_model_fields!U45</f>
        <v>address2 = models.CharField(max_length=100, blank=True, default='', null=False)</v>
      </c>
    </row>
    <row r="45" spans="1:7">
      <c r="A45" s="2">
        <v>44</v>
      </c>
      <c r="B45" t="str">
        <f>IF(ISBLANK(_model_fields!A46),B44, _model_fields!A46)</f>
        <v>Store</v>
      </c>
      <c r="C45" t="str">
        <f>_model_fields!B46</f>
        <v>city</v>
      </c>
      <c r="D45" t="str">
        <f ca="1">_model_fields!D46</f>
        <v>models.CharField</v>
      </c>
      <c r="E45" t="str">
        <f ca="1">_model_fields!K46</f>
        <v>True</v>
      </c>
      <c r="F45" t="str">
        <f ca="1">_model_fields!L46</f>
        <v>''</v>
      </c>
      <c r="G45" t="str">
        <f ca="1">_model_fields!U46</f>
        <v>city = models.CharField(max_length=30, blank=True, default='', null=False)</v>
      </c>
    </row>
    <row r="46" spans="1:7">
      <c r="A46" s="2">
        <v>45</v>
      </c>
      <c r="B46" t="str">
        <f>IF(ISBLANK(_model_fields!A47),B45, _model_fields!A47)</f>
        <v>Store</v>
      </c>
      <c r="C46" t="str">
        <f>_model_fields!B47</f>
        <v>state</v>
      </c>
      <c r="D46" t="str">
        <f ca="1">_model_fields!D47</f>
        <v>models.CharField</v>
      </c>
      <c r="E46" t="str">
        <f ca="1">_model_fields!K47</f>
        <v>True</v>
      </c>
      <c r="F46" t="str">
        <f ca="1">_model_fields!L47</f>
        <v>''</v>
      </c>
      <c r="G46" t="str">
        <f ca="1">_model_fields!U47</f>
        <v>state = models.CharField(max_length=2, blank=True, default='', null=False, choices=ST_LIST)</v>
      </c>
    </row>
    <row r="47" spans="1:7">
      <c r="A47" s="2">
        <v>46</v>
      </c>
      <c r="B47" t="str">
        <f>IF(ISBLANK(_model_fields!A48),B46, _model_fields!A48)</f>
        <v>Store</v>
      </c>
      <c r="C47" t="str">
        <f>_model_fields!B48</f>
        <v>zip</v>
      </c>
      <c r="D47" t="str">
        <f ca="1">_model_fields!D48</f>
        <v>models.CharField</v>
      </c>
      <c r="E47" t="str">
        <f ca="1">_model_fields!K48</f>
        <v>True</v>
      </c>
      <c r="F47" t="str">
        <f ca="1">_model_fields!L48</f>
        <v>''</v>
      </c>
      <c r="G47" t="str">
        <f ca="1">_model_fields!U48</f>
        <v>zip = models.CharField(max_length=5, blank=True, default='', null=False)</v>
      </c>
    </row>
    <row r="48" spans="1:7">
      <c r="A48" s="2">
        <v>47</v>
      </c>
      <c r="B48" t="str">
        <f>IF(ISBLANK(_model_fields!A49),B47, _model_fields!A49)</f>
        <v>Store</v>
      </c>
      <c r="C48" t="str">
        <f>_model_fields!B49</f>
        <v>phone</v>
      </c>
      <c r="D48" t="str">
        <f ca="1">_model_fields!D49</f>
        <v>PhoneNumberField</v>
      </c>
      <c r="E48" t="str">
        <f ca="1">_model_fields!K49</f>
        <v>True</v>
      </c>
      <c r="F48" t="str">
        <f ca="1">_model_fields!L49</f>
        <v/>
      </c>
      <c r="G48" t="str">
        <f ca="1">_model_fields!U49</f>
        <v>phone = PhoneNumberField(blank=True, region='US')</v>
      </c>
    </row>
    <row r="49" spans="1:7">
      <c r="A49" s="2">
        <v>48</v>
      </c>
      <c r="B49" t="str">
        <f>IF(ISBLANK(_model_fields!A50),B48, _model_fields!A50)</f>
        <v>Store</v>
      </c>
      <c r="C49" t="str">
        <f>_model_fields!B50</f>
        <v>email</v>
      </c>
      <c r="D49" t="str">
        <f ca="1">_model_fields!D50</f>
        <v>models.CharField</v>
      </c>
      <c r="E49" t="str">
        <f ca="1">_model_fields!K50</f>
        <v>True</v>
      </c>
      <c r="F49" t="str">
        <f ca="1">_model_fields!L50</f>
        <v>''</v>
      </c>
      <c r="G49" t="str">
        <f ca="1">_model_fields!U50</f>
        <v>email = models.CharField(max_length=100, blank=True, default='', null=False)</v>
      </c>
    </row>
    <row r="50" spans="1:7">
      <c r="A50" s="2">
        <v>49</v>
      </c>
      <c r="B50" t="str">
        <f>IF(ISBLANK(_model_fields!A51),B49, _model_fields!A51)</f>
        <v>Department</v>
      </c>
      <c r="C50" t="str">
        <f>_model_fields!B51</f>
        <v>store</v>
      </c>
      <c r="D50" t="str">
        <f ca="1">_model_fields!D51</f>
        <v>models.ForeignKey</v>
      </c>
      <c r="E50" t="str">
        <f ca="1">_model_fields!K51</f>
        <v>True</v>
      </c>
      <c r="F50" t="str">
        <f ca="1">_model_fields!L51</f>
        <v>None</v>
      </c>
      <c r="G50" t="str">
        <f ca="1">_model_fields!U51</f>
        <v>store = models.ForeignKey(Store, on_delete=models.SET_NULL, blank=True, default=None, null=True)</v>
      </c>
    </row>
    <row r="51" spans="1:7">
      <c r="A51" s="2">
        <v>50</v>
      </c>
      <c r="B51" t="str">
        <f>IF(ISBLANK(_model_fields!A52),B50, _model_fields!A52)</f>
        <v>Department</v>
      </c>
      <c r="C51" t="str">
        <f>_model_fields!B52</f>
        <v>department_manager</v>
      </c>
      <c r="D51" t="str">
        <f ca="1">_model_fields!D52</f>
        <v>models.ForeignKey</v>
      </c>
      <c r="E51" t="str">
        <f ca="1">_model_fields!K52</f>
        <v>False</v>
      </c>
      <c r="F51" t="str">
        <f ca="1">_model_fields!L52</f>
        <v>None</v>
      </c>
      <c r="G51" t="str">
        <f ca="1">_model_fields!U52</f>
        <v>department_manager = models.ForeignKey(Employee, on_delete=models.SET_NULL, blank=False, default=None, null=True)</v>
      </c>
    </row>
    <row r="52" spans="1:7">
      <c r="A52" s="2">
        <v>51</v>
      </c>
      <c r="B52" t="str">
        <f>IF(ISBLANK(_model_fields!A53),B51, _model_fields!A53)</f>
        <v>Department</v>
      </c>
      <c r="C52" t="str">
        <f>_model_fields!B53</f>
        <v>name</v>
      </c>
      <c r="D52" t="str">
        <f ca="1">_model_fields!D53</f>
        <v>models.CharField</v>
      </c>
      <c r="E52" t="str">
        <f ca="1">_model_fields!K53</f>
        <v>True</v>
      </c>
      <c r="F52" t="str">
        <f ca="1">_model_fields!L53</f>
        <v>''</v>
      </c>
      <c r="G52" t="str">
        <f ca="1">_model_fields!U53</f>
        <v>name = models.CharField(max_length=30, blank=True, default='', null=False)</v>
      </c>
    </row>
    <row r="53" spans="1:7">
      <c r="A53" s="2">
        <v>52</v>
      </c>
      <c r="B53" t="str">
        <f>IF(ISBLANK(_model_fields!A54),B52, _model_fields!A54)</f>
        <v>Position</v>
      </c>
      <c r="C53" t="str">
        <f>_model_fields!B54</f>
        <v>department</v>
      </c>
      <c r="D53" t="str">
        <f ca="1">_model_fields!D54</f>
        <v>models.ForeignKey</v>
      </c>
      <c r="E53" t="str">
        <f ca="1">_model_fields!K54</f>
        <v>True</v>
      </c>
      <c r="F53" t="str">
        <f ca="1">_model_fields!L54</f>
        <v>None</v>
      </c>
      <c r="G53" t="str">
        <f ca="1">_model_fields!U54</f>
        <v>department = models.ForeignKey(Department, on_delete=models.SET_NULL, blank=True, default=None, null=True)</v>
      </c>
    </row>
    <row r="54" spans="1:7">
      <c r="A54" s="2">
        <v>53</v>
      </c>
      <c r="B54" t="str">
        <f>IF(ISBLANK(_model_fields!A55),B53, _model_fields!A55)</f>
        <v>Position</v>
      </c>
      <c r="C54" t="str">
        <f>_model_fields!B55</f>
        <v>name</v>
      </c>
      <c r="D54" t="str">
        <f ca="1">_model_fields!D55</f>
        <v>models.CharField</v>
      </c>
      <c r="E54" t="str">
        <f ca="1">_model_fields!K55</f>
        <v>True</v>
      </c>
      <c r="F54" t="str">
        <f ca="1">_model_fields!L55</f>
        <v>''</v>
      </c>
      <c r="G54" t="str">
        <f ca="1">_model_fields!U55</f>
        <v>name = models.CharField(max_length=30, blank=True, default='', null=False)</v>
      </c>
    </row>
    <row r="55" spans="1:7">
      <c r="A55" s="2">
        <v>54</v>
      </c>
      <c r="B55" t="str">
        <f>IF(ISBLANK(_model_fields!A56),B54, _model_fields!A56)</f>
        <v>Section</v>
      </c>
      <c r="C55" t="str">
        <f>_model_fields!B56</f>
        <v>store</v>
      </c>
      <c r="D55" t="str">
        <f ca="1">_model_fields!D56</f>
        <v>models.ForeignKey</v>
      </c>
      <c r="E55" t="str">
        <f ca="1">_model_fields!K56</f>
        <v>True</v>
      </c>
      <c r="F55" t="str">
        <f ca="1">_model_fields!L56</f>
        <v>None</v>
      </c>
      <c r="G55" t="str">
        <f ca="1">_model_fields!U56</f>
        <v>store = models.ForeignKey(Store, on_delete=models.SET_NULL, blank=True, default=None, null=True)</v>
      </c>
    </row>
    <row r="56" spans="1:7">
      <c r="A56" s="2">
        <v>55</v>
      </c>
      <c r="B56" t="str">
        <f>IF(ISBLANK(_model_fields!A57),B55, _model_fields!A57)</f>
        <v>Section</v>
      </c>
      <c r="C56" t="str">
        <f>_model_fields!B57</f>
        <v>name</v>
      </c>
      <c r="D56" t="str">
        <f ca="1">_model_fields!D57</f>
        <v>models.CharField</v>
      </c>
      <c r="E56" t="str">
        <f ca="1">_model_fields!K57</f>
        <v>True</v>
      </c>
      <c r="F56" t="str">
        <f ca="1">_model_fields!L57</f>
        <v>''</v>
      </c>
      <c r="G56" t="str">
        <f ca="1">_model_fields!U57</f>
        <v>name = models.CharField(max_length=30, blank=True, default='', null=False)</v>
      </c>
    </row>
    <row r="57" spans="1:7">
      <c r="A57" s="2">
        <v>56</v>
      </c>
      <c r="B57" t="str">
        <f>IF(ISBLANK(_model_fields!A58),B56, _model_fields!A58)</f>
        <v>Section</v>
      </c>
      <c r="C57" t="str">
        <f>_model_fields!B58</f>
        <v>description</v>
      </c>
      <c r="D57" t="str">
        <f ca="1">_model_fields!D58</f>
        <v>models.CharField</v>
      </c>
      <c r="E57" t="str">
        <f ca="1">_model_fields!K58</f>
        <v>True</v>
      </c>
      <c r="F57" t="str">
        <f ca="1">_model_fields!L58</f>
        <v>''</v>
      </c>
      <c r="G57" t="str">
        <f ca="1">_model_fields!U58</f>
        <v>description = models.CharField(max_length=100, blank=True, default='', null=False)</v>
      </c>
    </row>
    <row r="58" spans="1:7">
      <c r="A58" s="2">
        <v>57</v>
      </c>
      <c r="B58" t="str">
        <f>IF(ISBLANK(_model_fields!A59),B57, _model_fields!A59)</f>
        <v>Location</v>
      </c>
      <c r="C58" t="str">
        <f>_model_fields!B59</f>
        <v>section</v>
      </c>
      <c r="D58" t="str">
        <f ca="1">_model_fields!D59</f>
        <v>models.ForeignKey</v>
      </c>
      <c r="E58" t="str">
        <f ca="1">_model_fields!K59</f>
        <v>True</v>
      </c>
      <c r="F58" t="str">
        <f ca="1">_model_fields!L59</f>
        <v>None</v>
      </c>
      <c r="G58" t="str">
        <f ca="1">_model_fields!U59</f>
        <v>section = models.ForeignKey(Section, on_delete=models.SET_NULL, blank=True, default=None, null=True)</v>
      </c>
    </row>
    <row r="59" spans="1:7">
      <c r="A59" s="2">
        <v>58</v>
      </c>
      <c r="B59" t="str">
        <f>IF(ISBLANK(_model_fields!A60),B58, _model_fields!A60)</f>
        <v>Location</v>
      </c>
      <c r="C59" t="str">
        <f>_model_fields!B60</f>
        <v>label</v>
      </c>
      <c r="D59" t="str">
        <f ca="1">_model_fields!D60</f>
        <v>models.CharField</v>
      </c>
      <c r="E59" t="str">
        <f ca="1">_model_fields!K60</f>
        <v>True</v>
      </c>
      <c r="F59" t="str">
        <f ca="1">_model_fields!L60</f>
        <v>''</v>
      </c>
      <c r="G59" t="str">
        <f ca="1">_model_fields!U60</f>
        <v>label = models.CharField(max_length=5, blank=True, default='', null=False)</v>
      </c>
    </row>
    <row r="60" spans="1:7">
      <c r="A60" s="2">
        <v>59</v>
      </c>
      <c r="B60" t="str">
        <f>IF(ISBLANK(_model_fields!A61),B59, _model_fields!A61)</f>
        <v>Liquidator</v>
      </c>
      <c r="C60" t="str">
        <f>_model_fields!B61</f>
        <v>name</v>
      </c>
      <c r="D60" t="str">
        <f ca="1">_model_fields!D61</f>
        <v>models.CharField</v>
      </c>
      <c r="E60" t="str">
        <f ca="1">_model_fields!K61</f>
        <v>True</v>
      </c>
      <c r="F60" t="str">
        <f ca="1">_model_fields!L61</f>
        <v>''</v>
      </c>
      <c r="G60" t="str">
        <f ca="1">_model_fields!U61</f>
        <v>name = models.CharField(max_length=30, blank=True, default='', null=False)</v>
      </c>
    </row>
    <row r="61" spans="1:7">
      <c r="A61" s="2">
        <v>60</v>
      </c>
      <c r="B61" t="str">
        <f>IF(ISBLANK(_model_fields!A62),B60, _model_fields!A62)</f>
        <v>Liquidator</v>
      </c>
      <c r="C61" t="str">
        <f>_model_fields!B62</f>
        <v>description</v>
      </c>
      <c r="D61" t="str">
        <f ca="1">_model_fields!D62</f>
        <v>models.CharField</v>
      </c>
      <c r="E61" t="str">
        <f ca="1">_model_fields!K62</f>
        <v>True</v>
      </c>
      <c r="F61" t="str">
        <f ca="1">_model_fields!L62</f>
        <v>''</v>
      </c>
      <c r="G61" t="str">
        <f ca="1">_model_fields!U62</f>
        <v>description = models.CharField(max_length=100, blank=True, default='', null=False)</v>
      </c>
    </row>
    <row r="62" spans="1:7">
      <c r="A62" s="2">
        <v>61</v>
      </c>
      <c r="B62" t="str">
        <f>IF(ISBLANK(_model_fields!A63),B61, _model_fields!A63)</f>
        <v>Liquidator</v>
      </c>
      <c r="C62" t="str">
        <f>_model_fields!B63</f>
        <v>website</v>
      </c>
      <c r="D62" t="str">
        <f ca="1">_model_fields!D63</f>
        <v>models.CharField</v>
      </c>
      <c r="E62" t="str">
        <f ca="1">_model_fields!K63</f>
        <v>True</v>
      </c>
      <c r="F62" t="str">
        <f ca="1">_model_fields!L63</f>
        <v>''</v>
      </c>
      <c r="G62" t="str">
        <f ca="1">_model_fields!U63</f>
        <v>website = models.CharField(max_length=100, blank=True, default='', null=False)</v>
      </c>
    </row>
    <row r="63" spans="1:7">
      <c r="A63" s="2">
        <v>62</v>
      </c>
      <c r="B63" t="str">
        <f>IF(ISBLANK(_model_fields!A64),B62, _model_fields!A64)</f>
        <v>Liquidator</v>
      </c>
      <c r="C63" t="str">
        <f>_model_fields!B64</f>
        <v>contact_phone</v>
      </c>
      <c r="D63" t="str">
        <f ca="1">_model_fields!D64</f>
        <v>PhoneNumberField</v>
      </c>
      <c r="E63" t="str">
        <f ca="1">_model_fields!K64</f>
        <v>True</v>
      </c>
      <c r="F63" t="str">
        <f ca="1">_model_fields!L64</f>
        <v/>
      </c>
      <c r="G63" t="str">
        <f ca="1">_model_fields!U64</f>
        <v>contact_phone = PhoneNumberField(blank=True, region='US')</v>
      </c>
    </row>
    <row r="64" spans="1:7">
      <c r="A64" s="2">
        <v>63</v>
      </c>
      <c r="B64" t="str">
        <f>IF(ISBLANK(_model_fields!A65),B63, _model_fields!A65)</f>
        <v>Liquidator</v>
      </c>
      <c r="C64" t="str">
        <f>_model_fields!B65</f>
        <v>contact_email</v>
      </c>
      <c r="D64" t="str">
        <f ca="1">_model_fields!D65</f>
        <v>models.CharField</v>
      </c>
      <c r="E64" t="str">
        <f ca="1">_model_fields!K65</f>
        <v>True</v>
      </c>
      <c r="F64" t="str">
        <f ca="1">_model_fields!L65</f>
        <v>''</v>
      </c>
      <c r="G64" t="str">
        <f ca="1">_model_fields!U65</f>
        <v>contact_email = models.CharField(max_length=100, blank=True, default='', null=False)</v>
      </c>
    </row>
    <row r="65" spans="1:7">
      <c r="A65" s="2">
        <v>64</v>
      </c>
      <c r="B65" t="str">
        <f>IF(ISBLANK(_model_fields!A66),B64, _model_fields!A66)</f>
        <v>Order</v>
      </c>
      <c r="C65" t="str">
        <f>_model_fields!B66</f>
        <v>liquidator</v>
      </c>
      <c r="D65" t="str">
        <f ca="1">_model_fields!D66</f>
        <v>models.ForeignKey</v>
      </c>
      <c r="E65" t="str">
        <f ca="1">_model_fields!K66</f>
        <v>True</v>
      </c>
      <c r="F65" t="str">
        <f ca="1">_model_fields!L66</f>
        <v>None</v>
      </c>
      <c r="G65" t="str">
        <f ca="1">_model_fields!U66</f>
        <v>liquidator = models.ForeignKey(Liquidator, on_delete=models.SET_NULL, blank=True, default=None, null=True)</v>
      </c>
    </row>
    <row r="66" spans="1:7">
      <c r="A66" s="2">
        <v>65</v>
      </c>
      <c r="B66" t="str">
        <f>IF(ISBLANK(_model_fields!A67),B65, _model_fields!A67)</f>
        <v>Order</v>
      </c>
      <c r="C66" t="str">
        <f>_model_fields!B67</f>
        <v>accepted_by</v>
      </c>
      <c r="D66" t="str">
        <f ca="1">_model_fields!D67</f>
        <v>models.ForeignKey</v>
      </c>
      <c r="E66" t="str">
        <f ca="1">_model_fields!K67</f>
        <v>True</v>
      </c>
      <c r="F66" t="str">
        <f ca="1">_model_fields!L67</f>
        <v>None</v>
      </c>
      <c r="G66" t="str">
        <f ca="1">_model_fields!U67</f>
        <v>accepted_by = models.ForeignKey(Employee, on_delete=models.SET_NULL, blank=True, default=None, null=True, related_name='accepted_orders')</v>
      </c>
    </row>
    <row r="67" spans="1:7">
      <c r="A67" s="2">
        <v>66</v>
      </c>
      <c r="B67" t="str">
        <f>IF(ISBLANK(_model_fields!A68),B66, _model_fields!A68)</f>
        <v>Order</v>
      </c>
      <c r="C67" t="str">
        <f>_model_fields!B68</f>
        <v>unloaded_by</v>
      </c>
      <c r="D67" t="str">
        <f ca="1">_model_fields!D68</f>
        <v>models.ForeignKey</v>
      </c>
      <c r="E67" t="str">
        <f ca="1">_model_fields!K68</f>
        <v>True</v>
      </c>
      <c r="F67" t="str">
        <f ca="1">_model_fields!L68</f>
        <v>None</v>
      </c>
      <c r="G67" t="str">
        <f ca="1">_model_fields!U68</f>
        <v>unloaded_by = models.ForeignKey(Employee, on_delete=models.SET_NULL, blank=True, default=None, null=True, related_name='unloaded_orders')</v>
      </c>
    </row>
    <row r="68" spans="1:7">
      <c r="A68" s="2">
        <v>67</v>
      </c>
      <c r="B68" t="str">
        <f>IF(ISBLANK(_model_fields!A69),B67, _model_fields!A69)</f>
        <v>Order</v>
      </c>
      <c r="C68" t="str">
        <f>_model_fields!B69</f>
        <v>order_number</v>
      </c>
      <c r="D68" t="str">
        <f ca="1">_model_fields!D69</f>
        <v>models.CharField</v>
      </c>
      <c r="E68" t="str">
        <f ca="1">_model_fields!K69</f>
        <v>True</v>
      </c>
      <c r="F68" t="str">
        <f ca="1">_model_fields!L69</f>
        <v>''</v>
      </c>
      <c r="G68" t="str">
        <f ca="1">_model_fields!U69</f>
        <v>order_number = models.CharField(max_length=30, blank=True, default='', null=False)</v>
      </c>
    </row>
    <row r="69" spans="1:7">
      <c r="A69" s="2">
        <v>68</v>
      </c>
      <c r="B69" t="str">
        <f>IF(ISBLANK(_model_fields!A70),B68, _model_fields!A70)</f>
        <v>Order</v>
      </c>
      <c r="C69" t="str">
        <f>_model_fields!B70</f>
        <v>category</v>
      </c>
      <c r="D69" t="str">
        <f ca="1">_model_fields!D70</f>
        <v>models.CharField</v>
      </c>
      <c r="E69" t="str">
        <f ca="1">_model_fields!K70</f>
        <v>True</v>
      </c>
      <c r="F69" t="str">
        <f ca="1">_model_fields!L70</f>
        <v>''</v>
      </c>
      <c r="G69" t="str">
        <f ca="1">_model_fields!U70</f>
        <v>category = models.CharField(max_length=100, blank=True, default='', null=False)</v>
      </c>
    </row>
    <row r="70" spans="1:7">
      <c r="A70" s="2">
        <v>69</v>
      </c>
      <c r="B70" t="str">
        <f>IF(ISBLANK(_model_fields!A71),B69, _model_fields!A71)</f>
        <v>Order</v>
      </c>
      <c r="C70" t="str">
        <f>_model_fields!B71</f>
        <v>item_count</v>
      </c>
      <c r="D70" t="str">
        <f ca="1">_model_fields!D71</f>
        <v>models.IntegerField</v>
      </c>
      <c r="E70" t="str">
        <f ca="1">_model_fields!K71</f>
        <v>True</v>
      </c>
      <c r="F70" t="str">
        <f ca="1">_model_fields!L71</f>
        <v>0</v>
      </c>
      <c r="G70" t="str">
        <f ca="1">_model_fields!U71</f>
        <v>item_count = models.IntegerField(blank=True, default=0, null=False)</v>
      </c>
    </row>
    <row r="71" spans="1:7">
      <c r="A71" s="2">
        <v>70</v>
      </c>
      <c r="B71" t="str">
        <f>IF(ISBLANK(_model_fields!A72),B70, _model_fields!A72)</f>
        <v>Order</v>
      </c>
      <c r="C71" t="str">
        <f>_model_fields!B72</f>
        <v>pallet_count</v>
      </c>
      <c r="D71" t="str">
        <f ca="1">_model_fields!D72</f>
        <v>models.IntegerField</v>
      </c>
      <c r="E71" t="str">
        <f ca="1">_model_fields!K72</f>
        <v>True</v>
      </c>
      <c r="F71" t="str">
        <f ca="1">_model_fields!L72</f>
        <v>0</v>
      </c>
      <c r="G71" t="str">
        <f ca="1">_model_fields!U72</f>
        <v>pallet_count = models.IntegerField(blank=True, default=0, null=False)</v>
      </c>
    </row>
    <row r="72" spans="1:7">
      <c r="A72" s="2">
        <v>71</v>
      </c>
      <c r="B72" t="str">
        <f>IF(ISBLANK(_model_fields!A73),B71, _model_fields!A73)</f>
        <v>Order</v>
      </c>
      <c r="C72" t="str">
        <f>_model_fields!B73</f>
        <v>sale_amount</v>
      </c>
      <c r="D72" t="str">
        <f ca="1">_model_fields!D73</f>
        <v>models.DecimalField</v>
      </c>
      <c r="E72" t="str">
        <f ca="1">_model_fields!K73</f>
        <v>True</v>
      </c>
      <c r="F72" t="str">
        <f ca="1">_model_fields!L73</f>
        <v>None</v>
      </c>
      <c r="G72" t="str">
        <f ca="1">_model_fields!U73</f>
        <v>sale_amount = models.DecimalField(blank=True, default=None, null=True, max_digits=8, decimal_places=2)</v>
      </c>
    </row>
    <row r="73" spans="1:7">
      <c r="A73" s="2">
        <v>72</v>
      </c>
      <c r="B73" t="str">
        <f>IF(ISBLANK(_model_fields!A74),B72, _model_fields!A74)</f>
        <v>Order</v>
      </c>
      <c r="C73" t="str">
        <f>_model_fields!B74</f>
        <v>shipping_amount</v>
      </c>
      <c r="D73" t="str">
        <f ca="1">_model_fields!D74</f>
        <v>models.DecimalField</v>
      </c>
      <c r="E73" t="str">
        <f ca="1">_model_fields!K74</f>
        <v>True</v>
      </c>
      <c r="F73" t="str">
        <f ca="1">_model_fields!L74</f>
        <v>None</v>
      </c>
      <c r="G73" t="str">
        <f ca="1">_model_fields!U74</f>
        <v>shipping_amount = models.DecimalField(blank=True, default=None, null=True, max_digits=8, decimal_places=2)</v>
      </c>
    </row>
    <row r="74" spans="1:7">
      <c r="A74" s="2">
        <v>73</v>
      </c>
      <c r="B74" t="str">
        <f>IF(ISBLANK(_model_fields!A75),B73, _model_fields!A75)</f>
        <v>Order</v>
      </c>
      <c r="C74" t="str">
        <f>_model_fields!B75</f>
        <v>purchase_date</v>
      </c>
      <c r="D74" t="str">
        <f ca="1">_model_fields!D75</f>
        <v>models.DateField</v>
      </c>
      <c r="E74" t="str">
        <f ca="1">_model_fields!K75</f>
        <v>True</v>
      </c>
      <c r="F74" t="str">
        <f ca="1">_model_fields!L75</f>
        <v>date.today</v>
      </c>
      <c r="G74" t="str">
        <f ca="1">_model_fields!U75</f>
        <v>purchase_date = models.DateField(blank=True, default=date.today, null=False)</v>
      </c>
    </row>
    <row r="75" spans="1:7">
      <c r="A75" s="2">
        <v>74</v>
      </c>
      <c r="B75" t="str">
        <f>IF(ISBLANK(_model_fields!A76),B74, _model_fields!A76)</f>
        <v>Order</v>
      </c>
      <c r="C75" t="str">
        <f>_model_fields!B76</f>
        <v>delivery_date</v>
      </c>
      <c r="D75" t="str">
        <f ca="1">_model_fields!D76</f>
        <v>models.DateField</v>
      </c>
      <c r="E75" t="str">
        <f ca="1">_model_fields!K76</f>
        <v>True</v>
      </c>
      <c r="F75" t="str">
        <f ca="1">_model_fields!L76</f>
        <v>None</v>
      </c>
      <c r="G75" t="str">
        <f ca="1">_model_fields!U76</f>
        <v>delivery_date = models.DateField(blank=True, default=None, null=True)</v>
      </c>
    </row>
    <row r="76" spans="1:7">
      <c r="A76" s="2">
        <v>75</v>
      </c>
      <c r="B76" t="str">
        <f>IF(ISBLANK(_model_fields!A77),B75, _model_fields!A77)</f>
        <v>Order</v>
      </c>
      <c r="C76" t="str">
        <f>_model_fields!B77</f>
        <v>pod_image</v>
      </c>
      <c r="D76" t="str">
        <f ca="1">_model_fields!D77</f>
        <v>models.ImageField</v>
      </c>
      <c r="E76" t="str">
        <f ca="1">_model_fields!K77</f>
        <v>True</v>
      </c>
      <c r="F76" t="str">
        <f ca="1">_model_fields!L77</f>
        <v>''</v>
      </c>
      <c r="G76" t="str">
        <f ca="1">_model_fields!U77</f>
        <v>pod_image = models.ImageField(blank=True, default='', null=False, upload_to=ORD_POD)</v>
      </c>
    </row>
    <row r="77" spans="1:7">
      <c r="A77" s="2">
        <v>76</v>
      </c>
      <c r="B77" t="str">
        <f>IF(ISBLANK(_model_fields!A78),B76, _model_fields!A78)</f>
        <v>Order</v>
      </c>
      <c r="C77" t="str">
        <f>_model_fields!B78</f>
        <v>manifest_file</v>
      </c>
      <c r="D77" t="str">
        <f ca="1">_model_fields!D78</f>
        <v>models.FileField</v>
      </c>
      <c r="E77" t="str">
        <f ca="1">_model_fields!K78</f>
        <v>True</v>
      </c>
      <c r="F77" t="str">
        <f ca="1">_model_fields!L78</f>
        <v>None</v>
      </c>
      <c r="G77" t="str">
        <f ca="1">_model_fields!U78</f>
        <v>manifest_file = models.FileField(blank=True, default=None, null=True, upload_to=ORD_MAN)</v>
      </c>
    </row>
    <row r="78" spans="1:7">
      <c r="A78" s="2">
        <v>77</v>
      </c>
      <c r="B78" t="str">
        <f>IF(ISBLANK(_model_fields!A79),B77, _model_fields!A79)</f>
        <v>Order_Images</v>
      </c>
      <c r="C78" t="str">
        <f>_model_fields!B79</f>
        <v>order</v>
      </c>
      <c r="D78" t="str">
        <f ca="1">_model_fields!D79</f>
        <v>models.ForeignKey</v>
      </c>
      <c r="E78" t="str">
        <f ca="1">_model_fields!K79</f>
        <v>True</v>
      </c>
      <c r="F78" t="str">
        <f ca="1">_model_fields!L79</f>
        <v>None</v>
      </c>
      <c r="G78" t="str">
        <f ca="1">_model_fields!U79</f>
        <v>order = models.ForeignKey(Order, on_delete=models.SET_NULL, blank=True, default=None, null=True)</v>
      </c>
    </row>
    <row r="79" spans="1:7">
      <c r="A79" s="2">
        <v>78</v>
      </c>
      <c r="B79" t="str">
        <f>IF(ISBLANK(_model_fields!A80),B78, _model_fields!A80)</f>
        <v>Order_Images</v>
      </c>
      <c r="C79" t="str">
        <f>_model_fields!B80</f>
        <v>image</v>
      </c>
      <c r="D79" t="str">
        <f ca="1">_model_fields!D80</f>
        <v>models.ImageField</v>
      </c>
      <c r="E79" t="str">
        <f ca="1">_model_fields!K80</f>
        <v>True</v>
      </c>
      <c r="F79" t="str">
        <f ca="1">_model_fields!L80</f>
        <v>''</v>
      </c>
      <c r="G79" t="str">
        <f ca="1">_model_fields!U80</f>
        <v>image = models.ImageField(blank=True, default='', null=False, upload_to=ORD_IMG)</v>
      </c>
    </row>
    <row r="80" spans="1:7">
      <c r="A80" s="2">
        <v>79</v>
      </c>
      <c r="B80" t="str">
        <f>IF(ISBLANK(_model_fields!A81),B79, _model_fields!A81)</f>
        <v>Dropoff</v>
      </c>
      <c r="C80" t="str">
        <f>_model_fields!B81</f>
        <v>consignor</v>
      </c>
      <c r="D80" t="str">
        <f ca="1">_model_fields!D81</f>
        <v>models.ForeignKey</v>
      </c>
      <c r="E80" t="str">
        <f ca="1">_model_fields!K81</f>
        <v>True</v>
      </c>
      <c r="F80" t="str">
        <f ca="1">_model_fields!L81</f>
        <v>None</v>
      </c>
      <c r="G80" t="str">
        <f ca="1">_model_fields!U81</f>
        <v>consignor = models.ForeignKey(Consignor, on_delete=models.SET_NULL, blank=True, default=None, null=True)</v>
      </c>
    </row>
    <row r="81" spans="1:7">
      <c r="A81" s="2">
        <v>80</v>
      </c>
      <c r="B81" t="str">
        <f>IF(ISBLANK(_model_fields!A82),B80, _model_fields!A82)</f>
        <v>Dropoff</v>
      </c>
      <c r="C81" t="str">
        <f>_model_fields!B82</f>
        <v>employee</v>
      </c>
      <c r="D81" t="str">
        <f ca="1">_model_fields!D82</f>
        <v>models.ForeignKey</v>
      </c>
      <c r="E81" t="str">
        <f ca="1">_model_fields!K82</f>
        <v>False</v>
      </c>
      <c r="F81" t="str">
        <f ca="1">_model_fields!L82</f>
        <v>None</v>
      </c>
      <c r="G81" t="str">
        <f ca="1">_model_fields!U82</f>
        <v>employee = models.ForeignKey(Employee, on_delete=models.SET_NULL, blank=False, default=None, null=True)</v>
      </c>
    </row>
    <row r="82" spans="1:7">
      <c r="A82" s="2">
        <v>81</v>
      </c>
      <c r="B82" t="str">
        <f>IF(ISBLANK(_model_fields!A83),B81, _model_fields!A83)</f>
        <v>Dropoff</v>
      </c>
      <c r="C82" t="str">
        <f>_model_fields!B83</f>
        <v>date</v>
      </c>
      <c r="D82" t="str">
        <f ca="1">_model_fields!D83</f>
        <v>models.DateField</v>
      </c>
      <c r="E82" t="str">
        <f ca="1">_model_fields!K83</f>
        <v>True</v>
      </c>
      <c r="F82" t="str">
        <f ca="1">_model_fields!L83</f>
        <v>date.today</v>
      </c>
      <c r="G82" t="str">
        <f ca="1">_model_fields!U83</f>
        <v>date = models.DateField(blank=True, default=date.today, null=False)</v>
      </c>
    </row>
    <row r="83" spans="1:7">
      <c r="A83" s="2">
        <v>82</v>
      </c>
      <c r="B83" t="str">
        <f>IF(ISBLANK(_model_fields!A84),B82, _model_fields!A84)</f>
        <v>Dropoff</v>
      </c>
      <c r="C83" t="str">
        <f>_model_fields!B84</f>
        <v>comments</v>
      </c>
      <c r="D83" t="str">
        <f ca="1">_model_fields!D84</f>
        <v>models.CharField</v>
      </c>
      <c r="E83" t="str">
        <f ca="1">_model_fields!K84</f>
        <v>True</v>
      </c>
      <c r="F83" t="str">
        <f ca="1">_model_fields!L84</f>
        <v>''</v>
      </c>
      <c r="G83" t="str">
        <f ca="1">_model_fields!U84</f>
        <v>comments = models.CharField(max_length=100, blank=True, default='', null=False)</v>
      </c>
    </row>
    <row r="84" spans="1:7">
      <c r="A84" s="2">
        <v>83</v>
      </c>
      <c r="B84" t="str">
        <f>IF(ISBLANK(_model_fields!A85),B83, _model_fields!A85)</f>
        <v>Dropoff</v>
      </c>
      <c r="C84" t="str">
        <f>_model_fields!B85</f>
        <v>agreement_image</v>
      </c>
      <c r="D84" t="str">
        <f ca="1">_model_fields!D85</f>
        <v>models.ImageField</v>
      </c>
      <c r="E84" t="str">
        <f ca="1">_model_fields!K85</f>
        <v>True</v>
      </c>
      <c r="F84" t="str">
        <f ca="1">_model_fields!L85</f>
        <v>''</v>
      </c>
      <c r="G84" t="str">
        <f ca="1">_model_fields!U85</f>
        <v>agreement_image = models.ImageField(blank=True, default='', null=False, upload_to=DRP_AGR)</v>
      </c>
    </row>
    <row r="85" spans="1:7">
      <c r="A85" s="2">
        <v>84</v>
      </c>
      <c r="B85" t="str">
        <f>IF(ISBLANK(_model_fields!A86),B84, _model_fields!A86)</f>
        <v>Dropoff</v>
      </c>
      <c r="C85" t="str">
        <f>_model_fields!B86</f>
        <v>offer_amount</v>
      </c>
      <c r="D85" t="str">
        <f ca="1">_model_fields!D86</f>
        <v>models.DecimalField</v>
      </c>
      <c r="E85" t="str">
        <f ca="1">_model_fields!K86</f>
        <v>True</v>
      </c>
      <c r="F85" t="str">
        <f ca="1">_model_fields!L86</f>
        <v>None</v>
      </c>
      <c r="G85" t="str">
        <f ca="1">_model_fields!U86</f>
        <v>offer_amount = models.DecimalField(blank=True, default=None, null=True, max_digits=8, decimal_places=2)</v>
      </c>
    </row>
    <row r="86" spans="1:7">
      <c r="A86" s="2">
        <v>85</v>
      </c>
      <c r="B86" t="str">
        <f>IF(ISBLANK(_model_fields!A87),B85, _model_fields!A87)</f>
        <v>Item</v>
      </c>
      <c r="C86" t="str">
        <f>_model_fields!B87</f>
        <v>employee</v>
      </c>
      <c r="D86" t="str">
        <f ca="1">_model_fields!D87</f>
        <v>models.ForeignKey</v>
      </c>
      <c r="E86" t="str">
        <f ca="1">_model_fields!K87</f>
        <v>True</v>
      </c>
      <c r="F86" t="str">
        <f ca="1">_model_fields!L87</f>
        <v>None</v>
      </c>
      <c r="G86" t="str">
        <f ca="1">_model_fields!U87</f>
        <v>employee = models.ForeignKey(Employee, on_delete=models.SET_NULL, blank=True, default=None, null=True)</v>
      </c>
    </row>
    <row r="87" spans="1:7">
      <c r="A87" s="2">
        <v>86</v>
      </c>
      <c r="B87" t="str">
        <f>IF(ISBLANK(_model_fields!A88),B86, _model_fields!A88)</f>
        <v>Item</v>
      </c>
      <c r="C87" t="str">
        <f>_model_fields!B88</f>
        <v>order</v>
      </c>
      <c r="D87" t="str">
        <f ca="1">_model_fields!D88</f>
        <v>models.ForeignKey</v>
      </c>
      <c r="E87" t="str">
        <f ca="1">_model_fields!K88</f>
        <v>True</v>
      </c>
      <c r="F87" t="str">
        <f ca="1">_model_fields!L88</f>
        <v>None</v>
      </c>
      <c r="G87" t="str">
        <f ca="1">_model_fields!U88</f>
        <v>order = models.ForeignKey(Order, on_delete=models.SET_NULL, blank=True, default=None, null=True)</v>
      </c>
    </row>
    <row r="88" spans="1:7">
      <c r="A88" s="2">
        <v>87</v>
      </c>
      <c r="B88" t="str">
        <f>IF(ISBLANK(_model_fields!A89),B87, _model_fields!A89)</f>
        <v>Item</v>
      </c>
      <c r="C88" t="str">
        <f>_model_fields!B89</f>
        <v>dropoff</v>
      </c>
      <c r="D88" t="str">
        <f ca="1">_model_fields!D89</f>
        <v>models.ForeignKey</v>
      </c>
      <c r="E88" t="str">
        <f ca="1">_model_fields!K89</f>
        <v>True</v>
      </c>
      <c r="F88" t="str">
        <f ca="1">_model_fields!L89</f>
        <v>None</v>
      </c>
      <c r="G88" t="str">
        <f ca="1">_model_fields!U89</f>
        <v>dropoff = models.ForeignKey(Dropoff, on_delete=models.SET_NULL, blank=True, default=None, null=True)</v>
      </c>
    </row>
    <row r="89" spans="1:7">
      <c r="A89" s="2">
        <v>88</v>
      </c>
      <c r="B89" t="str">
        <f>IF(ISBLANK(_model_fields!A90),B88, _model_fields!A90)</f>
        <v>Item</v>
      </c>
      <c r="C89" t="str">
        <f>_model_fields!B90</f>
        <v>created_date</v>
      </c>
      <c r="D89" t="str">
        <f ca="1">_model_fields!D90</f>
        <v>models.DateField</v>
      </c>
      <c r="E89" t="str">
        <f ca="1">_model_fields!K90</f>
        <v>True</v>
      </c>
      <c r="F89" t="str">
        <f ca="1">_model_fields!L90</f>
        <v>date.today</v>
      </c>
      <c r="G89" t="str">
        <f ca="1">_model_fields!U90</f>
        <v>created_date = models.DateField(blank=True, default=date.today, null=False)</v>
      </c>
    </row>
    <row r="90" spans="1:7">
      <c r="A90" s="2">
        <v>89</v>
      </c>
      <c r="B90" t="str">
        <f>IF(ISBLANK(_model_fields!A91),B89, _model_fields!A91)</f>
        <v>Item</v>
      </c>
      <c r="C90" t="str">
        <f>_model_fields!B91</f>
        <v>zero_date</v>
      </c>
      <c r="D90" t="str">
        <f ca="1">_model_fields!D91</f>
        <v>models.DateField</v>
      </c>
      <c r="E90" t="str">
        <f ca="1">_model_fields!K91</f>
        <v>True</v>
      </c>
      <c r="F90" t="str">
        <f ca="1">_model_fields!L91</f>
        <v>None</v>
      </c>
      <c r="G90" t="str">
        <f ca="1">_model_fields!U91</f>
        <v>zero_date = models.DateField(blank=True, default=None, null=True)</v>
      </c>
    </row>
    <row r="91" spans="1:7">
      <c r="A91" s="2">
        <v>90</v>
      </c>
      <c r="B91" t="str">
        <f>IF(ISBLANK(_model_fields!A92),B90, _model_fields!A92)</f>
        <v>Item</v>
      </c>
      <c r="C91" t="str">
        <f>_model_fields!B92</f>
        <v>change_date</v>
      </c>
      <c r="D91" t="str">
        <f ca="1">_model_fields!D92</f>
        <v>models.DateField</v>
      </c>
      <c r="E91" t="str">
        <f ca="1">_model_fields!K92</f>
        <v>True</v>
      </c>
      <c r="F91" t="str">
        <f ca="1">_model_fields!L92</f>
        <v>None</v>
      </c>
      <c r="G91" t="str">
        <f ca="1">_model_fields!U92</f>
        <v>change_date = models.DateField(blank=True, default=None, null=True)</v>
      </c>
    </row>
    <row r="92" spans="1:7">
      <c r="A92" s="2">
        <v>91</v>
      </c>
      <c r="B92" t="str">
        <f>IF(ISBLANK(_model_fields!A93),B91, _model_fields!A93)</f>
        <v>Item</v>
      </c>
      <c r="C92" t="str">
        <f>_model_fields!B93</f>
        <v>section</v>
      </c>
      <c r="D92" t="str">
        <f ca="1">_model_fields!D93</f>
        <v>models.ForeignKey</v>
      </c>
      <c r="E92" t="str">
        <f ca="1">_model_fields!K93</f>
        <v>True</v>
      </c>
      <c r="F92" t="str">
        <f ca="1">_model_fields!L93</f>
        <v>None</v>
      </c>
      <c r="G92" t="str">
        <f ca="1">_model_fields!U93</f>
        <v>section = models.ForeignKey(Section, on_delete=models.SET_NULL, blank=True, default=None, null=True)</v>
      </c>
    </row>
    <row r="93" spans="1:7">
      <c r="A93" s="2">
        <v>92</v>
      </c>
      <c r="B93" t="str">
        <f>IF(ISBLANK(_model_fields!A94),B92, _model_fields!A94)</f>
        <v>Item</v>
      </c>
      <c r="C93" t="str">
        <f>_model_fields!B94</f>
        <v>description</v>
      </c>
      <c r="D93" t="str">
        <f ca="1">_model_fields!D94</f>
        <v>models.CharField</v>
      </c>
      <c r="E93" t="str">
        <f ca="1">_model_fields!K94</f>
        <v>True</v>
      </c>
      <c r="F93" t="str">
        <f ca="1">_model_fields!L94</f>
        <v>''</v>
      </c>
      <c r="G93" t="str">
        <f ca="1">_model_fields!U94</f>
        <v>description = models.CharField(max_length=100, blank=True, default='', null=False)</v>
      </c>
    </row>
    <row r="94" spans="1:7">
      <c r="A94" s="2">
        <v>93</v>
      </c>
      <c r="B94" t="str">
        <f>IF(ISBLANK(_model_fields!A95),B93, _model_fields!A95)</f>
        <v>Item</v>
      </c>
      <c r="C94" t="str">
        <f>_model_fields!B95</f>
        <v>brand</v>
      </c>
      <c r="D94" t="str">
        <f ca="1">_model_fields!D95</f>
        <v>models.CharField</v>
      </c>
      <c r="E94" t="str">
        <f ca="1">_model_fields!K95</f>
        <v>True</v>
      </c>
      <c r="F94" t="str">
        <f ca="1">_model_fields!L95</f>
        <v>''</v>
      </c>
      <c r="G94" t="str">
        <f ca="1">_model_fields!U95</f>
        <v>brand = models.CharField(max_length=100, blank=True, default='', null=False)</v>
      </c>
    </row>
    <row r="95" spans="1:7">
      <c r="A95" s="2">
        <v>94</v>
      </c>
      <c r="B95" t="str">
        <f>IF(ISBLANK(_model_fields!A96),B94, _model_fields!A96)</f>
        <v>Item</v>
      </c>
      <c r="C95" t="str">
        <f>_model_fields!B96</f>
        <v>condition</v>
      </c>
      <c r="D95" t="str">
        <f ca="1">_model_fields!D96</f>
        <v>models.CharField</v>
      </c>
      <c r="E95" t="str">
        <f ca="1">_model_fields!K96</f>
        <v>True</v>
      </c>
      <c r="F95" t="str">
        <f ca="1">_model_fields!L96</f>
        <v>''</v>
      </c>
      <c r="G95" t="str">
        <f ca="1">_model_fields!U96</f>
        <v>condition = models.CharField(max_length=50, blank=True, default='', null=False, choices=CONDITION_LIST)</v>
      </c>
    </row>
    <row r="96" spans="1:7">
      <c r="A96" s="2">
        <v>95</v>
      </c>
      <c r="B96" t="str">
        <f>IF(ISBLANK(_model_fields!A97),B95, _model_fields!A97)</f>
        <v>Item</v>
      </c>
      <c r="C96" t="str">
        <f>_model_fields!B97</f>
        <v>tested</v>
      </c>
      <c r="D96" t="str">
        <f ca="1">_model_fields!D97</f>
        <v>models.CharField</v>
      </c>
      <c r="E96" t="str">
        <f ca="1">_model_fields!K97</f>
        <v>True</v>
      </c>
      <c r="F96" t="str">
        <f ca="1">_model_fields!L97</f>
        <v>''</v>
      </c>
      <c r="G96" t="str">
        <f ca="1">_model_fields!U97</f>
        <v>tested = models.CharField(max_length=50, blank=True, default='', null=False, choices=TESTED_LIST)</v>
      </c>
    </row>
    <row r="97" spans="1:7">
      <c r="A97" s="2">
        <v>96</v>
      </c>
      <c r="B97" t="str">
        <f>IF(ISBLANK(_model_fields!A98),B96, _model_fields!A98)</f>
        <v>Item</v>
      </c>
      <c r="C97" t="str">
        <f>_model_fields!B98</f>
        <v>tags</v>
      </c>
      <c r="D97" t="str">
        <f ca="1">_model_fields!D98</f>
        <v>models.CharField</v>
      </c>
      <c r="E97" t="str">
        <f ca="1">_model_fields!K98</f>
        <v>True</v>
      </c>
      <c r="F97" t="str">
        <f ca="1">_model_fields!L98</f>
        <v>''</v>
      </c>
      <c r="G97" t="str">
        <f ca="1">_model_fields!U98</f>
        <v>tags = models.CharField(max_length=999, blank=True, default='', null=False)</v>
      </c>
    </row>
    <row r="98" spans="1:7">
      <c r="A98" s="2">
        <v>97</v>
      </c>
      <c r="B98" t="str">
        <f>IF(ISBLANK(_model_fields!A99),B97, _model_fields!A99)</f>
        <v>Item</v>
      </c>
      <c r="C98" t="str">
        <f>_model_fields!B99</f>
        <v>price_code</v>
      </c>
      <c r="D98" t="str">
        <f ca="1">_model_fields!D99</f>
        <v>models.CharField</v>
      </c>
      <c r="E98" t="str">
        <f ca="1">_model_fields!K99</f>
        <v>True</v>
      </c>
      <c r="F98" t="str">
        <f ca="1">_model_fields!L99</f>
        <v>''</v>
      </c>
      <c r="G98" t="str">
        <f ca="1">_model_fields!U99</f>
        <v>price_code = models.CharField(max_length=2, blank=True, default='', null=False)</v>
      </c>
    </row>
    <row r="99" spans="1:7">
      <c r="A99" s="2">
        <v>98</v>
      </c>
      <c r="B99" t="str">
        <f>IF(ISBLANK(_model_fields!A100),B98, _model_fields!A100)</f>
        <v>Item</v>
      </c>
      <c r="C99" t="str">
        <f>_model_fields!B100</f>
        <v>static_price</v>
      </c>
      <c r="D99" t="str">
        <f ca="1">_model_fields!D100</f>
        <v>models.DecimalField</v>
      </c>
      <c r="E99" t="str">
        <f ca="1">_model_fields!K100</f>
        <v>True</v>
      </c>
      <c r="F99" t="str">
        <f ca="1">_model_fields!L100</f>
        <v>None</v>
      </c>
      <c r="G99" t="str">
        <f ca="1">_model_fields!U100</f>
        <v>static_price = models.DecimalField(blank=True, default=None, null=True, max_digits=8, decimal_places=2)</v>
      </c>
    </row>
    <row r="100" spans="1:7">
      <c r="A100" s="2">
        <v>99</v>
      </c>
      <c r="B100" t="str">
        <f>IF(ISBLANK(_model_fields!A101),B99, _model_fields!A101)</f>
        <v>Item</v>
      </c>
      <c r="C100" t="str">
        <f>_model_fields!B101</f>
        <v>expected_price</v>
      </c>
      <c r="D100" t="str">
        <f ca="1">_model_fields!D101</f>
        <v>models.DecimalField</v>
      </c>
      <c r="E100" t="str">
        <f ca="1">_model_fields!K101</f>
        <v>True</v>
      </c>
      <c r="F100" t="str">
        <f ca="1">_model_fields!L101</f>
        <v>None</v>
      </c>
      <c r="G100" t="str">
        <f ca="1">_model_fields!U101</f>
        <v>expected_price = models.DecimalField(blank=True, default=None, null=True, max_digits=8, decimal_places=2)</v>
      </c>
    </row>
    <row r="101" spans="1:7">
      <c r="A101" s="2">
        <v>100</v>
      </c>
      <c r="B101" t="str">
        <f>IF(ISBLANK(_model_fields!A102),B100, _model_fields!A102)</f>
        <v>Item</v>
      </c>
      <c r="C101" t="str">
        <f>_model_fields!B102</f>
        <v>status_change</v>
      </c>
      <c r="D101" t="str">
        <f ca="1">_model_fields!D102</f>
        <v>models.CharField</v>
      </c>
      <c r="E101" t="str">
        <f ca="1">_model_fields!K102</f>
        <v>True</v>
      </c>
      <c r="F101" t="str">
        <f ca="1">_model_fields!L102</f>
        <v>''</v>
      </c>
      <c r="G101" t="str">
        <f ca="1">_model_fields!U102</f>
        <v>status_change = models.CharField(max_length=50, blank=True, default='', null=False, choices=STATUS_CHANGE_LIST)</v>
      </c>
    </row>
    <row r="102" spans="1:7">
      <c r="A102" s="2">
        <v>101</v>
      </c>
      <c r="B102" t="str">
        <f>IF(ISBLANK(_model_fields!A103),B101, _model_fields!A103)</f>
        <v>Item_Images</v>
      </c>
      <c r="C102" t="str">
        <f>_model_fields!B103</f>
        <v>item</v>
      </c>
      <c r="D102" t="str">
        <f ca="1">_model_fields!D103</f>
        <v>models.ForeignKey</v>
      </c>
      <c r="E102" t="str">
        <f ca="1">_model_fields!K103</f>
        <v>True</v>
      </c>
      <c r="F102" t="str">
        <f ca="1">_model_fields!L103</f>
        <v>None</v>
      </c>
      <c r="G102" t="str">
        <f ca="1">_model_fields!U103</f>
        <v>item = models.ForeignKey(Item, on_delete=models.SET_NULL, blank=True, default=None, null=True)</v>
      </c>
    </row>
    <row r="103" spans="1:7">
      <c r="A103" s="2">
        <v>102</v>
      </c>
      <c r="B103" t="str">
        <f>IF(ISBLANK(_model_fields!A104),B102, _model_fields!A104)</f>
        <v>Item_Images</v>
      </c>
      <c r="C103" t="str">
        <f>_model_fields!B104</f>
        <v>image</v>
      </c>
      <c r="D103" t="str">
        <f ca="1">_model_fields!D104</f>
        <v>models.ImageField</v>
      </c>
      <c r="E103" t="str">
        <f ca="1">_model_fields!K104</f>
        <v>True</v>
      </c>
      <c r="F103" t="str">
        <f ca="1">_model_fields!L104</f>
        <v>''</v>
      </c>
      <c r="G103" t="str">
        <f ca="1">_model_fields!U104</f>
        <v>image = models.ImageField(blank=True, default='', null=False, upload_to=ITM_IMG)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DCB08-C563-4E67-9AB3-4FA6D762A95A}">
  <sheetPr codeName="Sheet11"/>
  <dimension ref="A1:J51"/>
  <sheetViews>
    <sheetView topLeftCell="E1" zoomScale="130" zoomScaleNormal="130" workbookViewId="0">
      <selection activeCell="J46" sqref="J46"/>
    </sheetView>
  </sheetViews>
  <sheetFormatPr defaultRowHeight="15"/>
  <cols>
    <col min="1" max="1" width="4.85546875" style="2" customWidth="1"/>
    <col min="2" max="2" width="17.42578125" bestFit="1" customWidth="1"/>
    <col min="3" max="3" width="17.42578125" customWidth="1"/>
    <col min="4" max="4" width="25.28515625" customWidth="1"/>
    <col min="5" max="5" width="17.85546875" bestFit="1" customWidth="1"/>
    <col min="6" max="6" width="12.7109375" bestFit="1" customWidth="1"/>
    <col min="7" max="7" width="16.28515625" bestFit="1" customWidth="1"/>
    <col min="8" max="8" width="17.85546875" bestFit="1" customWidth="1"/>
    <col min="9" max="9" width="34.42578125" bestFit="1" customWidth="1"/>
    <col min="10" max="10" width="105.7109375" bestFit="1" customWidth="1"/>
  </cols>
  <sheetData>
    <row r="1" spans="1:10">
      <c r="A1" s="21" t="s">
        <v>558</v>
      </c>
      <c r="B1" s="19" t="s">
        <v>325</v>
      </c>
      <c r="C1" s="19" t="s">
        <v>322</v>
      </c>
      <c r="D1" s="19" t="s">
        <v>324</v>
      </c>
      <c r="E1" s="19" t="s">
        <v>29</v>
      </c>
      <c r="F1" s="21" t="s">
        <v>492</v>
      </c>
      <c r="G1" s="21" t="s">
        <v>517</v>
      </c>
      <c r="H1" s="21" t="s">
        <v>516</v>
      </c>
      <c r="I1" s="19" t="s">
        <v>373</v>
      </c>
      <c r="J1" s="19" t="s">
        <v>543</v>
      </c>
    </row>
    <row r="2" spans="1:10">
      <c r="A2" s="2">
        <v>1</v>
      </c>
      <c r="B2" t="s">
        <v>776</v>
      </c>
      <c r="C2" t="s">
        <v>977</v>
      </c>
      <c r="D2" t="s">
        <v>378</v>
      </c>
      <c r="E2" t="s">
        <v>401</v>
      </c>
      <c r="F2" t="s">
        <v>501</v>
      </c>
      <c r="G2" t="s">
        <v>503</v>
      </c>
      <c r="H2" t="s">
        <v>775</v>
      </c>
      <c r="I2" t="s">
        <v>783</v>
      </c>
      <c r="J2" t="s">
        <v>784</v>
      </c>
    </row>
    <row r="3" spans="1:10">
      <c r="A3" s="2">
        <v>2</v>
      </c>
      <c r="B3" t="s">
        <v>450</v>
      </c>
      <c r="C3" t="s">
        <v>977</v>
      </c>
      <c r="D3" t="s">
        <v>378</v>
      </c>
      <c r="E3" t="s">
        <v>451</v>
      </c>
      <c r="F3" t="s">
        <v>506</v>
      </c>
      <c r="G3" t="s">
        <v>463</v>
      </c>
      <c r="H3" t="s">
        <v>451</v>
      </c>
      <c r="I3" t="s">
        <v>785</v>
      </c>
      <c r="J3" t="s">
        <v>786</v>
      </c>
    </row>
    <row r="4" spans="1:10">
      <c r="A4" s="2">
        <v>3</v>
      </c>
      <c r="B4" t="s">
        <v>782</v>
      </c>
      <c r="C4" t="s">
        <v>977</v>
      </c>
      <c r="D4" t="s">
        <v>378</v>
      </c>
      <c r="E4" t="s">
        <v>401</v>
      </c>
      <c r="F4" t="s">
        <v>501</v>
      </c>
      <c r="G4" t="s">
        <v>513</v>
      </c>
      <c r="H4" t="s">
        <v>781</v>
      </c>
      <c r="I4" t="s">
        <v>787</v>
      </c>
      <c r="J4" t="s">
        <v>788</v>
      </c>
    </row>
    <row r="5" spans="1:10">
      <c r="A5" s="2">
        <v>4</v>
      </c>
      <c r="B5" t="s">
        <v>457</v>
      </c>
      <c r="C5" t="s">
        <v>977</v>
      </c>
      <c r="D5" t="s">
        <v>378</v>
      </c>
      <c r="E5" t="s">
        <v>458</v>
      </c>
      <c r="F5" t="s">
        <v>497</v>
      </c>
      <c r="G5" t="s">
        <v>499</v>
      </c>
      <c r="H5" t="s">
        <v>772</v>
      </c>
      <c r="I5" t="s">
        <v>789</v>
      </c>
      <c r="J5" t="s">
        <v>790</v>
      </c>
    </row>
    <row r="6" spans="1:10">
      <c r="A6" s="2">
        <v>5</v>
      </c>
      <c r="B6" t="s">
        <v>774</v>
      </c>
      <c r="C6" t="s">
        <v>977</v>
      </c>
      <c r="D6" t="s">
        <v>378</v>
      </c>
      <c r="E6" t="s">
        <v>401</v>
      </c>
      <c r="F6" t="s">
        <v>501</v>
      </c>
      <c r="G6" t="s">
        <v>502</v>
      </c>
      <c r="H6" t="s">
        <v>773</v>
      </c>
      <c r="I6" t="s">
        <v>791</v>
      </c>
      <c r="J6" t="s">
        <v>792</v>
      </c>
    </row>
    <row r="7" spans="1:10">
      <c r="A7" s="2">
        <v>6</v>
      </c>
      <c r="B7" t="s">
        <v>771</v>
      </c>
      <c r="C7" t="s">
        <v>977</v>
      </c>
      <c r="D7" t="s">
        <v>378</v>
      </c>
      <c r="E7" t="s">
        <v>401</v>
      </c>
      <c r="F7" t="s">
        <v>497</v>
      </c>
      <c r="G7" t="s">
        <v>498</v>
      </c>
      <c r="H7" t="s">
        <v>770</v>
      </c>
      <c r="I7" t="s">
        <v>794</v>
      </c>
      <c r="J7" t="s">
        <v>795</v>
      </c>
    </row>
    <row r="8" spans="1:10">
      <c r="A8" s="2">
        <v>7</v>
      </c>
      <c r="B8" t="s">
        <v>448</v>
      </c>
      <c r="C8" t="s">
        <v>977</v>
      </c>
      <c r="D8" t="s">
        <v>378</v>
      </c>
      <c r="E8" t="s">
        <v>449</v>
      </c>
      <c r="F8" t="s">
        <v>501</v>
      </c>
      <c r="G8" t="s">
        <v>464</v>
      </c>
      <c r="H8" t="s">
        <v>449</v>
      </c>
      <c r="I8" t="s">
        <v>796</v>
      </c>
      <c r="J8" t="s">
        <v>797</v>
      </c>
    </row>
    <row r="9" spans="1:10">
      <c r="A9" s="2">
        <v>8</v>
      </c>
      <c r="B9" t="s">
        <v>453</v>
      </c>
      <c r="C9" t="s">
        <v>977</v>
      </c>
      <c r="D9" t="s">
        <v>378</v>
      </c>
      <c r="E9" t="s">
        <v>454</v>
      </c>
      <c r="F9" t="s">
        <v>506</v>
      </c>
      <c r="G9" t="s">
        <v>465</v>
      </c>
      <c r="H9" t="s">
        <v>454</v>
      </c>
      <c r="I9" t="s">
        <v>798</v>
      </c>
      <c r="J9" t="s">
        <v>799</v>
      </c>
    </row>
    <row r="10" spans="1:10">
      <c r="A10" s="2">
        <v>9</v>
      </c>
      <c r="B10" t="s">
        <v>459</v>
      </c>
      <c r="C10" t="s">
        <v>977</v>
      </c>
      <c r="D10" t="s">
        <v>378</v>
      </c>
      <c r="E10" t="s">
        <v>460</v>
      </c>
      <c r="F10" t="s">
        <v>497</v>
      </c>
      <c r="G10" t="s">
        <v>466</v>
      </c>
      <c r="H10" t="s">
        <v>460</v>
      </c>
      <c r="I10" t="s">
        <v>800</v>
      </c>
      <c r="J10" t="s">
        <v>801</v>
      </c>
    </row>
    <row r="11" spans="1:10">
      <c r="A11" s="2">
        <v>10</v>
      </c>
      <c r="B11" t="s">
        <v>455</v>
      </c>
      <c r="C11" t="s">
        <v>977</v>
      </c>
      <c r="D11" t="s">
        <v>378</v>
      </c>
      <c r="E11" t="s">
        <v>456</v>
      </c>
      <c r="F11" t="s">
        <v>506</v>
      </c>
      <c r="G11" t="s">
        <v>467</v>
      </c>
      <c r="H11" t="s">
        <v>456</v>
      </c>
      <c r="I11" t="s">
        <v>802</v>
      </c>
      <c r="J11" t="s">
        <v>803</v>
      </c>
    </row>
    <row r="12" spans="1:10">
      <c r="A12" s="2">
        <v>11</v>
      </c>
      <c r="B12" t="s">
        <v>778</v>
      </c>
      <c r="C12" t="s">
        <v>977</v>
      </c>
      <c r="D12" t="s">
        <v>378</v>
      </c>
      <c r="E12" t="s">
        <v>401</v>
      </c>
      <c r="F12" t="s">
        <v>501</v>
      </c>
      <c r="G12" t="s">
        <v>504</v>
      </c>
      <c r="H12" t="s">
        <v>777</v>
      </c>
      <c r="I12" t="s">
        <v>804</v>
      </c>
      <c r="J12" t="s">
        <v>805</v>
      </c>
    </row>
    <row r="13" spans="1:10">
      <c r="A13" s="2">
        <v>12</v>
      </c>
      <c r="B13" t="s">
        <v>452</v>
      </c>
      <c r="C13" t="s">
        <v>977</v>
      </c>
      <c r="D13" t="s">
        <v>378</v>
      </c>
      <c r="E13" t="s">
        <v>398</v>
      </c>
      <c r="F13" t="s">
        <v>506</v>
      </c>
      <c r="G13" t="s">
        <v>468</v>
      </c>
      <c r="H13" t="s">
        <v>398</v>
      </c>
      <c r="I13" t="s">
        <v>806</v>
      </c>
      <c r="J13" t="s">
        <v>807</v>
      </c>
    </row>
    <row r="14" spans="1:10">
      <c r="A14" s="2">
        <v>13</v>
      </c>
      <c r="B14" t="s">
        <v>399</v>
      </c>
      <c r="C14" t="s">
        <v>977</v>
      </c>
      <c r="D14" t="s">
        <v>378</v>
      </c>
      <c r="E14" t="s">
        <v>400</v>
      </c>
      <c r="F14" t="s">
        <v>506</v>
      </c>
      <c r="G14" t="s">
        <v>469</v>
      </c>
      <c r="H14" t="s">
        <v>400</v>
      </c>
      <c r="I14" t="s">
        <v>808</v>
      </c>
      <c r="J14" t="s">
        <v>809</v>
      </c>
    </row>
    <row r="15" spans="1:10">
      <c r="A15" s="2">
        <v>14</v>
      </c>
      <c r="B15" t="s">
        <v>780</v>
      </c>
      <c r="C15" t="s">
        <v>977</v>
      </c>
      <c r="D15" t="s">
        <v>378</v>
      </c>
      <c r="E15" t="s">
        <v>401</v>
      </c>
      <c r="F15" t="s">
        <v>501</v>
      </c>
      <c r="G15" t="s">
        <v>505</v>
      </c>
      <c r="H15" t="s">
        <v>779</v>
      </c>
      <c r="I15" t="s">
        <v>810</v>
      </c>
      <c r="J15" t="s">
        <v>811</v>
      </c>
    </row>
    <row r="16" spans="1:10">
      <c r="A16" s="2">
        <v>15</v>
      </c>
      <c r="B16" t="s">
        <v>827</v>
      </c>
      <c r="C16" t="s">
        <v>977</v>
      </c>
      <c r="D16" t="s">
        <v>378</v>
      </c>
      <c r="E16" t="s">
        <v>401</v>
      </c>
      <c r="F16" t="s">
        <v>501</v>
      </c>
      <c r="G16" t="s">
        <v>503</v>
      </c>
      <c r="H16" t="s">
        <v>828</v>
      </c>
      <c r="I16" t="s">
        <v>829</v>
      </c>
      <c r="J16" t="s">
        <v>854</v>
      </c>
    </row>
    <row r="17" spans="1:10">
      <c r="A17" s="2">
        <v>16</v>
      </c>
      <c r="B17" t="s">
        <v>435</v>
      </c>
      <c r="C17" t="s">
        <v>977</v>
      </c>
      <c r="D17" t="s">
        <v>378</v>
      </c>
      <c r="E17" t="s">
        <v>436</v>
      </c>
      <c r="F17" t="s">
        <v>506</v>
      </c>
      <c r="G17" t="s">
        <v>463</v>
      </c>
      <c r="H17" t="s">
        <v>436</v>
      </c>
      <c r="I17" t="s">
        <v>830</v>
      </c>
      <c r="J17" t="s">
        <v>855</v>
      </c>
    </row>
    <row r="18" spans="1:10">
      <c r="A18" s="2">
        <v>17</v>
      </c>
      <c r="B18" t="s">
        <v>831</v>
      </c>
      <c r="C18" t="s">
        <v>977</v>
      </c>
      <c r="D18" t="s">
        <v>378</v>
      </c>
      <c r="E18" t="s">
        <v>401</v>
      </c>
      <c r="F18" t="s">
        <v>501</v>
      </c>
      <c r="G18" t="s">
        <v>513</v>
      </c>
      <c r="H18" t="s">
        <v>832</v>
      </c>
      <c r="I18" t="s">
        <v>833</v>
      </c>
      <c r="J18" t="s">
        <v>856</v>
      </c>
    </row>
    <row r="19" spans="1:10">
      <c r="A19" s="2">
        <v>18</v>
      </c>
      <c r="B19" t="s">
        <v>443</v>
      </c>
      <c r="C19" t="s">
        <v>977</v>
      </c>
      <c r="D19" t="s">
        <v>378</v>
      </c>
      <c r="E19" t="s">
        <v>444</v>
      </c>
      <c r="F19" t="s">
        <v>497</v>
      </c>
      <c r="G19" t="s">
        <v>499</v>
      </c>
      <c r="H19" t="s">
        <v>834</v>
      </c>
      <c r="I19" t="s">
        <v>835</v>
      </c>
      <c r="J19" t="s">
        <v>857</v>
      </c>
    </row>
    <row r="20" spans="1:10">
      <c r="A20" s="2">
        <v>19</v>
      </c>
      <c r="B20" t="s">
        <v>836</v>
      </c>
      <c r="C20" t="s">
        <v>977</v>
      </c>
      <c r="D20" t="s">
        <v>378</v>
      </c>
      <c r="E20" t="s">
        <v>401</v>
      </c>
      <c r="F20" t="s">
        <v>501</v>
      </c>
      <c r="G20" t="s">
        <v>502</v>
      </c>
      <c r="H20" t="s">
        <v>837</v>
      </c>
      <c r="I20" t="s">
        <v>838</v>
      </c>
      <c r="J20" t="s">
        <v>858</v>
      </c>
    </row>
    <row r="21" spans="1:10">
      <c r="A21" s="2">
        <v>20</v>
      </c>
      <c r="B21" t="s">
        <v>839</v>
      </c>
      <c r="C21" t="s">
        <v>977</v>
      </c>
      <c r="D21" t="s">
        <v>378</v>
      </c>
      <c r="E21" t="s">
        <v>401</v>
      </c>
      <c r="F21" t="s">
        <v>497</v>
      </c>
      <c r="G21" t="s">
        <v>498</v>
      </c>
      <c r="H21" t="s">
        <v>840</v>
      </c>
      <c r="I21" t="s">
        <v>841</v>
      </c>
      <c r="J21" t="s">
        <v>859</v>
      </c>
    </row>
    <row r="22" spans="1:10">
      <c r="A22" s="2">
        <v>21</v>
      </c>
      <c r="B22" t="s">
        <v>433</v>
      </c>
      <c r="C22" t="s">
        <v>977</v>
      </c>
      <c r="D22" t="s">
        <v>378</v>
      </c>
      <c r="E22" t="s">
        <v>434</v>
      </c>
      <c r="F22" t="s">
        <v>501</v>
      </c>
      <c r="G22" t="s">
        <v>464</v>
      </c>
      <c r="H22" t="s">
        <v>434</v>
      </c>
      <c r="I22" t="s">
        <v>842</v>
      </c>
      <c r="J22" t="s">
        <v>860</v>
      </c>
    </row>
    <row r="23" spans="1:10">
      <c r="A23" s="2">
        <v>22</v>
      </c>
      <c r="B23" t="s">
        <v>439</v>
      </c>
      <c r="C23" t="s">
        <v>977</v>
      </c>
      <c r="D23" t="s">
        <v>378</v>
      </c>
      <c r="E23" t="s">
        <v>440</v>
      </c>
      <c r="F23" t="s">
        <v>506</v>
      </c>
      <c r="G23" t="s">
        <v>465</v>
      </c>
      <c r="H23" t="s">
        <v>440</v>
      </c>
      <c r="I23" t="s">
        <v>843</v>
      </c>
      <c r="J23" t="s">
        <v>861</v>
      </c>
    </row>
    <row r="24" spans="1:10">
      <c r="A24" s="2">
        <v>23</v>
      </c>
      <c r="B24" t="s">
        <v>445</v>
      </c>
      <c r="C24" t="s">
        <v>977</v>
      </c>
      <c r="D24" t="s">
        <v>378</v>
      </c>
      <c r="E24" t="s">
        <v>446</v>
      </c>
      <c r="F24" t="s">
        <v>497</v>
      </c>
      <c r="G24" t="s">
        <v>466</v>
      </c>
      <c r="H24" t="s">
        <v>446</v>
      </c>
      <c r="I24" t="s">
        <v>844</v>
      </c>
      <c r="J24" t="s">
        <v>862</v>
      </c>
    </row>
    <row r="25" spans="1:10">
      <c r="A25" s="2">
        <v>24</v>
      </c>
      <c r="B25" t="s">
        <v>441</v>
      </c>
      <c r="C25" t="s">
        <v>977</v>
      </c>
      <c r="D25" t="s">
        <v>378</v>
      </c>
      <c r="E25" t="s">
        <v>442</v>
      </c>
      <c r="F25" t="s">
        <v>506</v>
      </c>
      <c r="G25" t="s">
        <v>467</v>
      </c>
      <c r="H25" t="s">
        <v>442</v>
      </c>
      <c r="I25" t="s">
        <v>845</v>
      </c>
      <c r="J25" t="s">
        <v>863</v>
      </c>
    </row>
    <row r="26" spans="1:10">
      <c r="A26" s="2">
        <v>25</v>
      </c>
      <c r="B26" t="s">
        <v>846</v>
      </c>
      <c r="C26" t="s">
        <v>977</v>
      </c>
      <c r="D26" t="s">
        <v>378</v>
      </c>
      <c r="E26" t="s">
        <v>401</v>
      </c>
      <c r="F26" t="s">
        <v>501</v>
      </c>
      <c r="G26" t="s">
        <v>504</v>
      </c>
      <c r="H26" t="s">
        <v>847</v>
      </c>
      <c r="I26" t="s">
        <v>848</v>
      </c>
      <c r="J26" t="s">
        <v>864</v>
      </c>
    </row>
    <row r="27" spans="1:10">
      <c r="A27" s="2">
        <v>26</v>
      </c>
      <c r="B27" t="s">
        <v>437</v>
      </c>
      <c r="C27" t="s">
        <v>977</v>
      </c>
      <c r="D27" t="s">
        <v>378</v>
      </c>
      <c r="E27" t="s">
        <v>438</v>
      </c>
      <c r="F27" t="s">
        <v>506</v>
      </c>
      <c r="G27" t="s">
        <v>468</v>
      </c>
      <c r="H27" t="s">
        <v>438</v>
      </c>
      <c r="I27" t="s">
        <v>849</v>
      </c>
      <c r="J27" t="s">
        <v>865</v>
      </c>
    </row>
    <row r="28" spans="1:10">
      <c r="A28" s="2">
        <v>27</v>
      </c>
      <c r="B28" t="s">
        <v>408</v>
      </c>
      <c r="C28" t="s">
        <v>977</v>
      </c>
      <c r="D28" t="s">
        <v>378</v>
      </c>
      <c r="E28" t="s">
        <v>409</v>
      </c>
      <c r="F28" t="s">
        <v>506</v>
      </c>
      <c r="G28" t="s">
        <v>469</v>
      </c>
      <c r="H28" t="s">
        <v>409</v>
      </c>
      <c r="I28" t="s">
        <v>850</v>
      </c>
      <c r="J28" t="s">
        <v>866</v>
      </c>
    </row>
    <row r="29" spans="1:10">
      <c r="A29" s="2">
        <v>28</v>
      </c>
      <c r="B29" t="s">
        <v>851</v>
      </c>
      <c r="C29" t="s">
        <v>977</v>
      </c>
      <c r="D29" t="s">
        <v>378</v>
      </c>
      <c r="E29" t="s">
        <v>401</v>
      </c>
      <c r="F29" t="s">
        <v>501</v>
      </c>
      <c r="G29" t="s">
        <v>505</v>
      </c>
      <c r="H29" t="s">
        <v>852</v>
      </c>
      <c r="I29" t="s">
        <v>853</v>
      </c>
      <c r="J29" t="s">
        <v>867</v>
      </c>
    </row>
    <row r="30" spans="1:10">
      <c r="A30" s="2">
        <v>29</v>
      </c>
      <c r="B30" t="s">
        <v>763</v>
      </c>
      <c r="C30" t="s">
        <v>977</v>
      </c>
      <c r="D30" t="s">
        <v>378</v>
      </c>
      <c r="E30" t="s">
        <v>401</v>
      </c>
      <c r="F30" t="s">
        <v>501</v>
      </c>
      <c r="G30" t="s">
        <v>503</v>
      </c>
      <c r="H30" t="s">
        <v>511</v>
      </c>
      <c r="I30" t="s">
        <v>812</v>
      </c>
      <c r="J30" t="s">
        <v>870</v>
      </c>
    </row>
    <row r="31" spans="1:10">
      <c r="A31" s="2">
        <v>30</v>
      </c>
      <c r="B31" t="s">
        <v>414</v>
      </c>
      <c r="C31" t="s">
        <v>977</v>
      </c>
      <c r="D31" t="s">
        <v>378</v>
      </c>
      <c r="E31" t="s">
        <v>426</v>
      </c>
      <c r="F31" t="s">
        <v>506</v>
      </c>
      <c r="G31" t="s">
        <v>463</v>
      </c>
      <c r="H31" t="s">
        <v>426</v>
      </c>
      <c r="I31" t="s">
        <v>813</v>
      </c>
      <c r="J31" t="s">
        <v>871</v>
      </c>
    </row>
    <row r="32" spans="1:10">
      <c r="A32" s="2">
        <v>31</v>
      </c>
      <c r="B32" t="s">
        <v>766</v>
      </c>
      <c r="C32" t="s">
        <v>977</v>
      </c>
      <c r="D32" t="s">
        <v>378</v>
      </c>
      <c r="E32" t="s">
        <v>401</v>
      </c>
      <c r="F32" t="s">
        <v>501</v>
      </c>
      <c r="G32" t="s">
        <v>513</v>
      </c>
      <c r="H32" t="s">
        <v>508</v>
      </c>
      <c r="I32" t="s">
        <v>814</v>
      </c>
      <c r="J32" t="s">
        <v>872</v>
      </c>
    </row>
    <row r="33" spans="1:10">
      <c r="A33" s="2">
        <v>32</v>
      </c>
      <c r="B33" t="s">
        <v>418</v>
      </c>
      <c r="C33" t="s">
        <v>977</v>
      </c>
      <c r="D33" t="s">
        <v>378</v>
      </c>
      <c r="E33" t="s">
        <v>430</v>
      </c>
      <c r="F33" t="s">
        <v>497</v>
      </c>
      <c r="G33" t="s">
        <v>499</v>
      </c>
      <c r="H33" t="s">
        <v>509</v>
      </c>
      <c r="I33" t="s">
        <v>815</v>
      </c>
      <c r="J33" t="s">
        <v>873</v>
      </c>
    </row>
    <row r="34" spans="1:10">
      <c r="A34" s="2">
        <v>33</v>
      </c>
      <c r="B34" t="s">
        <v>767</v>
      </c>
      <c r="C34" t="s">
        <v>977</v>
      </c>
      <c r="D34" t="s">
        <v>378</v>
      </c>
      <c r="E34" t="s">
        <v>401</v>
      </c>
      <c r="F34" t="s">
        <v>501</v>
      </c>
      <c r="G34" t="s">
        <v>502</v>
      </c>
      <c r="H34" t="s">
        <v>510</v>
      </c>
      <c r="I34" t="s">
        <v>816</v>
      </c>
      <c r="J34" t="s">
        <v>874</v>
      </c>
    </row>
    <row r="35" spans="1:10">
      <c r="A35" s="2">
        <v>34</v>
      </c>
      <c r="B35" t="s">
        <v>762</v>
      </c>
      <c r="C35" t="s">
        <v>977</v>
      </c>
      <c r="D35" t="s">
        <v>378</v>
      </c>
      <c r="E35" t="s">
        <v>401</v>
      </c>
      <c r="F35" t="s">
        <v>497</v>
      </c>
      <c r="G35" t="s">
        <v>498</v>
      </c>
      <c r="H35" t="s">
        <v>500</v>
      </c>
      <c r="I35" t="s">
        <v>817</v>
      </c>
      <c r="J35" t="s">
        <v>875</v>
      </c>
    </row>
    <row r="36" spans="1:10">
      <c r="A36" s="2">
        <v>35</v>
      </c>
      <c r="B36" t="s">
        <v>412</v>
      </c>
      <c r="C36" t="s">
        <v>977</v>
      </c>
      <c r="D36" t="s">
        <v>378</v>
      </c>
      <c r="E36" t="s">
        <v>424</v>
      </c>
      <c r="F36" t="s">
        <v>501</v>
      </c>
      <c r="G36" t="s">
        <v>464</v>
      </c>
      <c r="H36" t="s">
        <v>424</v>
      </c>
      <c r="I36" t="s">
        <v>819</v>
      </c>
      <c r="J36" t="s">
        <v>877</v>
      </c>
    </row>
    <row r="37" spans="1:10">
      <c r="A37" s="2">
        <v>36</v>
      </c>
      <c r="B37" t="s">
        <v>416</v>
      </c>
      <c r="C37" t="s">
        <v>977</v>
      </c>
      <c r="D37" t="s">
        <v>378</v>
      </c>
      <c r="E37" t="s">
        <v>428</v>
      </c>
      <c r="F37" t="s">
        <v>506</v>
      </c>
      <c r="G37" t="s">
        <v>465</v>
      </c>
      <c r="H37" t="s">
        <v>428</v>
      </c>
      <c r="I37" t="s">
        <v>820</v>
      </c>
      <c r="J37" t="s">
        <v>878</v>
      </c>
    </row>
    <row r="38" spans="1:10">
      <c r="A38" s="2">
        <v>37</v>
      </c>
      <c r="B38" t="s">
        <v>419</v>
      </c>
      <c r="C38" t="s">
        <v>977</v>
      </c>
      <c r="D38" t="s">
        <v>378</v>
      </c>
      <c r="E38" t="s">
        <v>431</v>
      </c>
      <c r="F38" t="s">
        <v>497</v>
      </c>
      <c r="G38" t="s">
        <v>466</v>
      </c>
      <c r="H38" t="s">
        <v>431</v>
      </c>
      <c r="I38" t="s">
        <v>821</v>
      </c>
      <c r="J38" t="s">
        <v>879</v>
      </c>
    </row>
    <row r="39" spans="1:10">
      <c r="A39" s="2">
        <v>38</v>
      </c>
      <c r="B39" t="s">
        <v>417</v>
      </c>
      <c r="C39" t="s">
        <v>977</v>
      </c>
      <c r="D39" t="s">
        <v>378</v>
      </c>
      <c r="E39" t="s">
        <v>429</v>
      </c>
      <c r="F39" t="s">
        <v>506</v>
      </c>
      <c r="G39" t="s">
        <v>467</v>
      </c>
      <c r="H39" t="s">
        <v>429</v>
      </c>
      <c r="I39" t="s">
        <v>822</v>
      </c>
      <c r="J39" t="s">
        <v>880</v>
      </c>
    </row>
    <row r="40" spans="1:10">
      <c r="A40" s="2">
        <v>39</v>
      </c>
      <c r="B40" t="s">
        <v>764</v>
      </c>
      <c r="C40" t="s">
        <v>977</v>
      </c>
      <c r="D40" t="s">
        <v>378</v>
      </c>
      <c r="E40" t="s">
        <v>401</v>
      </c>
      <c r="F40" t="s">
        <v>501</v>
      </c>
      <c r="G40" t="s">
        <v>504</v>
      </c>
      <c r="H40" t="s">
        <v>507</v>
      </c>
      <c r="I40" t="s">
        <v>823</v>
      </c>
      <c r="J40" t="s">
        <v>881</v>
      </c>
    </row>
    <row r="41" spans="1:10">
      <c r="A41" s="2">
        <v>40</v>
      </c>
      <c r="B41" t="s">
        <v>415</v>
      </c>
      <c r="C41" t="s">
        <v>977</v>
      </c>
      <c r="D41" t="s">
        <v>378</v>
      </c>
      <c r="E41" t="s">
        <v>427</v>
      </c>
      <c r="F41" t="s">
        <v>506</v>
      </c>
      <c r="G41" t="s">
        <v>468</v>
      </c>
      <c r="H41" t="s">
        <v>427</v>
      </c>
      <c r="I41" t="s">
        <v>824</v>
      </c>
      <c r="J41" t="s">
        <v>882</v>
      </c>
    </row>
    <row r="42" spans="1:10">
      <c r="A42" s="2">
        <v>41</v>
      </c>
      <c r="B42" t="s">
        <v>413</v>
      </c>
      <c r="C42" t="s">
        <v>977</v>
      </c>
      <c r="D42" t="s">
        <v>378</v>
      </c>
      <c r="E42" t="s">
        <v>425</v>
      </c>
      <c r="F42" t="s">
        <v>506</v>
      </c>
      <c r="G42" t="s">
        <v>469</v>
      </c>
      <c r="H42" t="s">
        <v>425</v>
      </c>
      <c r="I42" t="s">
        <v>825</v>
      </c>
      <c r="J42" t="s">
        <v>883</v>
      </c>
    </row>
    <row r="43" spans="1:10">
      <c r="A43" s="2">
        <v>42</v>
      </c>
      <c r="B43" t="s">
        <v>765</v>
      </c>
      <c r="C43" t="s">
        <v>977</v>
      </c>
      <c r="D43" t="s">
        <v>378</v>
      </c>
      <c r="E43" t="s">
        <v>401</v>
      </c>
      <c r="F43" t="s">
        <v>501</v>
      </c>
      <c r="G43" t="s">
        <v>505</v>
      </c>
      <c r="H43" t="s">
        <v>512</v>
      </c>
      <c r="I43" t="s">
        <v>826</v>
      </c>
      <c r="J43" t="s">
        <v>884</v>
      </c>
    </row>
    <row r="44" spans="1:10" s="51" customFormat="1">
      <c r="A44" s="53">
        <v>43</v>
      </c>
      <c r="B44" s="51" t="s">
        <v>1000</v>
      </c>
      <c r="C44" s="51" t="s">
        <v>1007</v>
      </c>
      <c r="D44" s="51" t="s">
        <v>1002</v>
      </c>
      <c r="E44" s="51" t="s">
        <v>1003</v>
      </c>
      <c r="F44" s="51" t="s">
        <v>497</v>
      </c>
      <c r="G44" s="51" t="s">
        <v>61</v>
      </c>
      <c r="I44" s="51" t="s">
        <v>1005</v>
      </c>
      <c r="J44" s="51" t="s">
        <v>1009</v>
      </c>
    </row>
    <row r="45" spans="1:10" s="51" customFormat="1">
      <c r="A45" s="53">
        <v>44</v>
      </c>
      <c r="B45" s="51" t="s">
        <v>1001</v>
      </c>
      <c r="C45" s="51" t="s">
        <v>1007</v>
      </c>
      <c r="D45" s="51" t="s">
        <v>1002</v>
      </c>
      <c r="E45" s="51" t="s">
        <v>1004</v>
      </c>
      <c r="F45" s="51" t="s">
        <v>497</v>
      </c>
      <c r="G45" s="51" t="s">
        <v>61</v>
      </c>
      <c r="I45" s="51" t="s">
        <v>1006</v>
      </c>
      <c r="J45" s="51" t="s">
        <v>1010</v>
      </c>
    </row>
    <row r="46" spans="1:10">
      <c r="A46" s="2">
        <v>45</v>
      </c>
      <c r="B46" t="s">
        <v>420</v>
      </c>
      <c r="C46" t="s">
        <v>977</v>
      </c>
      <c r="D46" t="s">
        <v>378</v>
      </c>
      <c r="E46" t="s">
        <v>432</v>
      </c>
      <c r="F46" t="s">
        <v>497</v>
      </c>
      <c r="G46" t="s">
        <v>61</v>
      </c>
      <c r="H46" t="s">
        <v>432</v>
      </c>
      <c r="I46" t="s">
        <v>818</v>
      </c>
      <c r="J46" t="s">
        <v>876</v>
      </c>
    </row>
    <row r="47" spans="1:10">
      <c r="A47" s="2">
        <v>46</v>
      </c>
      <c r="B47" t="s">
        <v>401</v>
      </c>
      <c r="C47" t="s">
        <v>977</v>
      </c>
      <c r="D47" t="s">
        <v>378</v>
      </c>
      <c r="E47" t="s">
        <v>401</v>
      </c>
      <c r="F47" t="s">
        <v>401</v>
      </c>
      <c r="G47" t="s">
        <v>401</v>
      </c>
      <c r="H47" t="s">
        <v>401</v>
      </c>
      <c r="I47" t="s">
        <v>907</v>
      </c>
      <c r="J47" t="s">
        <v>908</v>
      </c>
    </row>
    <row r="48" spans="1:10">
      <c r="A48" s="2">
        <v>47</v>
      </c>
      <c r="B48" t="s">
        <v>761</v>
      </c>
      <c r="C48" t="s">
        <v>977</v>
      </c>
      <c r="D48" t="s">
        <v>378</v>
      </c>
      <c r="E48" t="s">
        <v>401</v>
      </c>
      <c r="F48" t="s">
        <v>493</v>
      </c>
      <c r="G48" t="s">
        <v>496</v>
      </c>
      <c r="H48" t="s">
        <v>496</v>
      </c>
      <c r="I48" t="s">
        <v>885</v>
      </c>
      <c r="J48" t="s">
        <v>869</v>
      </c>
    </row>
    <row r="49" spans="1:10">
      <c r="A49" s="2">
        <v>48</v>
      </c>
      <c r="B49" t="s">
        <v>538</v>
      </c>
      <c r="C49" t="s">
        <v>977</v>
      </c>
      <c r="D49" t="s">
        <v>378</v>
      </c>
      <c r="E49" t="s">
        <v>539</v>
      </c>
      <c r="F49" t="s">
        <v>493</v>
      </c>
      <c r="G49" t="s">
        <v>494</v>
      </c>
      <c r="H49" t="s">
        <v>494</v>
      </c>
      <c r="I49" t="s">
        <v>539</v>
      </c>
      <c r="J49" t="s">
        <v>886</v>
      </c>
    </row>
    <row r="50" spans="1:10">
      <c r="A50" s="2">
        <v>49</v>
      </c>
      <c r="B50" t="s">
        <v>495</v>
      </c>
      <c r="C50" t="s">
        <v>977</v>
      </c>
      <c r="D50" t="s">
        <v>378</v>
      </c>
      <c r="E50" t="s">
        <v>401</v>
      </c>
      <c r="F50" t="s">
        <v>493</v>
      </c>
      <c r="G50" t="s">
        <v>495</v>
      </c>
      <c r="H50" t="s">
        <v>495</v>
      </c>
      <c r="I50" t="s">
        <v>887</v>
      </c>
    </row>
    <row r="51" spans="1:10">
      <c r="A51" s="2">
        <v>50</v>
      </c>
      <c r="B51" t="s">
        <v>769</v>
      </c>
      <c r="C51" t="s">
        <v>977</v>
      </c>
      <c r="D51" t="s">
        <v>378</v>
      </c>
      <c r="E51" t="s">
        <v>401</v>
      </c>
      <c r="F51" t="s">
        <v>493</v>
      </c>
      <c r="G51" t="s">
        <v>768</v>
      </c>
      <c r="H51" t="s">
        <v>768</v>
      </c>
      <c r="I51" t="s">
        <v>793</v>
      </c>
      <c r="J51" t="s">
        <v>868</v>
      </c>
    </row>
  </sheetData>
  <sortState xmlns:xlrd2="http://schemas.microsoft.com/office/spreadsheetml/2017/richdata2" ref="B2:J47">
    <sortCondition ref="B47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B62B8-13A9-4E90-8898-7EC432B114E0}">
  <sheetPr codeName="Sheet12"/>
  <dimension ref="A1:F29"/>
  <sheetViews>
    <sheetView zoomScale="130" zoomScaleNormal="130" workbookViewId="0">
      <selection activeCell="F1" sqref="F1"/>
    </sheetView>
  </sheetViews>
  <sheetFormatPr defaultColWidth="24.28515625" defaultRowHeight="15"/>
  <cols>
    <col min="1" max="1" width="3.28515625" style="2" bestFit="1" customWidth="1"/>
    <col min="2" max="2" width="17.42578125" bestFit="1" customWidth="1"/>
    <col min="3" max="3" width="20.140625" bestFit="1" customWidth="1"/>
    <col min="4" max="4" width="5.85546875" bestFit="1" customWidth="1"/>
    <col min="5" max="5" width="9.42578125" style="2" bestFit="1" customWidth="1"/>
    <col min="6" max="6" width="9.7109375" bestFit="1" customWidth="1"/>
  </cols>
  <sheetData>
    <row r="1" spans="1:6">
      <c r="A1" s="21" t="s">
        <v>558</v>
      </c>
      <c r="B1" s="19" t="s">
        <v>325</v>
      </c>
      <c r="C1" s="19" t="s">
        <v>889</v>
      </c>
      <c r="D1" s="19" t="s">
        <v>322</v>
      </c>
      <c r="E1" s="19" t="s">
        <v>914</v>
      </c>
      <c r="F1" s="19" t="s">
        <v>919</v>
      </c>
    </row>
    <row r="2" spans="1:6">
      <c r="A2" s="2">
        <v>1</v>
      </c>
      <c r="B2" t="s">
        <v>450</v>
      </c>
      <c r="C2" t="s">
        <v>481</v>
      </c>
      <c r="D2" t="s">
        <v>327</v>
      </c>
      <c r="E2" s="2" t="s">
        <v>918</v>
      </c>
    </row>
    <row r="3" spans="1:6">
      <c r="A3" s="2">
        <v>2</v>
      </c>
      <c r="B3" t="s">
        <v>457</v>
      </c>
      <c r="C3" t="s">
        <v>485</v>
      </c>
      <c r="D3" t="s">
        <v>327</v>
      </c>
      <c r="E3" s="2" t="s">
        <v>918</v>
      </c>
    </row>
    <row r="4" spans="1:6">
      <c r="A4" s="2">
        <v>3</v>
      </c>
      <c r="B4" t="s">
        <v>461</v>
      </c>
      <c r="C4" t="s">
        <v>998</v>
      </c>
      <c r="D4" t="s">
        <v>999</v>
      </c>
      <c r="E4" s="2" t="s">
        <v>918</v>
      </c>
    </row>
    <row r="5" spans="1:6">
      <c r="A5" s="2">
        <v>4</v>
      </c>
      <c r="B5" t="s">
        <v>448</v>
      </c>
      <c r="C5" t="s">
        <v>479</v>
      </c>
      <c r="D5" t="s">
        <v>327</v>
      </c>
      <c r="E5" s="2" t="s">
        <v>918</v>
      </c>
    </row>
    <row r="6" spans="1:6">
      <c r="A6" s="2">
        <v>5</v>
      </c>
      <c r="B6" t="s">
        <v>453</v>
      </c>
      <c r="C6" t="s">
        <v>483</v>
      </c>
      <c r="D6" t="s">
        <v>327</v>
      </c>
      <c r="E6" s="2" t="s">
        <v>918</v>
      </c>
    </row>
    <row r="7" spans="1:6">
      <c r="A7" s="2">
        <v>6</v>
      </c>
      <c r="B7" t="s">
        <v>459</v>
      </c>
      <c r="C7" t="s">
        <v>486</v>
      </c>
      <c r="D7" t="s">
        <v>327</v>
      </c>
      <c r="E7" s="2" t="s">
        <v>918</v>
      </c>
    </row>
    <row r="8" spans="1:6">
      <c r="A8" s="2">
        <v>7</v>
      </c>
      <c r="B8" t="s">
        <v>455</v>
      </c>
      <c r="C8" t="s">
        <v>484</v>
      </c>
      <c r="D8" t="s">
        <v>327</v>
      </c>
      <c r="E8" s="2" t="s">
        <v>918</v>
      </c>
    </row>
    <row r="9" spans="1:6">
      <c r="A9" s="2">
        <v>8</v>
      </c>
      <c r="B9" t="s">
        <v>452</v>
      </c>
      <c r="C9" t="s">
        <v>482</v>
      </c>
      <c r="D9" t="s">
        <v>327</v>
      </c>
      <c r="E9" s="2" t="s">
        <v>918</v>
      </c>
    </row>
    <row r="10" spans="1:6">
      <c r="A10" s="2">
        <v>9</v>
      </c>
      <c r="B10" t="s">
        <v>399</v>
      </c>
      <c r="C10" t="s">
        <v>480</v>
      </c>
      <c r="D10" t="s">
        <v>327</v>
      </c>
      <c r="E10" s="2" t="s">
        <v>918</v>
      </c>
    </row>
    <row r="11" spans="1:6">
      <c r="A11" s="2">
        <v>10</v>
      </c>
      <c r="B11" t="s">
        <v>435</v>
      </c>
      <c r="C11" t="s">
        <v>472</v>
      </c>
      <c r="D11" t="s">
        <v>327</v>
      </c>
      <c r="E11" s="2" t="s">
        <v>918</v>
      </c>
    </row>
    <row r="12" spans="1:6">
      <c r="A12" s="2">
        <v>11</v>
      </c>
      <c r="B12" t="s">
        <v>443</v>
      </c>
      <c r="C12" t="s">
        <v>476</v>
      </c>
      <c r="D12" t="s">
        <v>327</v>
      </c>
      <c r="E12" s="2" t="s">
        <v>918</v>
      </c>
    </row>
    <row r="13" spans="1:6">
      <c r="A13" s="2">
        <v>12</v>
      </c>
      <c r="B13" t="s">
        <v>447</v>
      </c>
      <c r="C13" t="s">
        <v>478</v>
      </c>
      <c r="D13" t="s">
        <v>327</v>
      </c>
      <c r="E13" s="2" t="s">
        <v>918</v>
      </c>
    </row>
    <row r="14" spans="1:6">
      <c r="A14" s="2">
        <v>13</v>
      </c>
      <c r="B14" t="s">
        <v>433</v>
      </c>
      <c r="C14" t="s">
        <v>470</v>
      </c>
      <c r="D14" t="s">
        <v>327</v>
      </c>
      <c r="E14" s="2" t="s">
        <v>918</v>
      </c>
    </row>
    <row r="15" spans="1:6">
      <c r="A15" s="2">
        <v>14</v>
      </c>
      <c r="B15" t="s">
        <v>439</v>
      </c>
      <c r="C15" t="s">
        <v>474</v>
      </c>
      <c r="D15" t="s">
        <v>327</v>
      </c>
      <c r="E15" s="2" t="s">
        <v>918</v>
      </c>
    </row>
    <row r="16" spans="1:6">
      <c r="A16" s="2">
        <v>15</v>
      </c>
      <c r="B16" t="s">
        <v>445</v>
      </c>
      <c r="C16" t="s">
        <v>477</v>
      </c>
      <c r="D16" t="s">
        <v>327</v>
      </c>
      <c r="E16" s="2" t="s">
        <v>918</v>
      </c>
    </row>
    <row r="17" spans="1:5">
      <c r="A17" s="2">
        <v>16</v>
      </c>
      <c r="B17" t="s">
        <v>441</v>
      </c>
      <c r="C17" t="s">
        <v>475</v>
      </c>
      <c r="D17" t="s">
        <v>327</v>
      </c>
      <c r="E17" s="2" t="s">
        <v>918</v>
      </c>
    </row>
    <row r="18" spans="1:5">
      <c r="A18" s="2">
        <v>17</v>
      </c>
      <c r="B18" t="s">
        <v>437</v>
      </c>
      <c r="C18" t="s">
        <v>473</v>
      </c>
      <c r="D18" t="s">
        <v>327</v>
      </c>
      <c r="E18" s="2" t="s">
        <v>918</v>
      </c>
    </row>
    <row r="19" spans="1:5">
      <c r="A19" s="2">
        <v>18</v>
      </c>
      <c r="B19" t="s">
        <v>408</v>
      </c>
      <c r="C19" t="s">
        <v>471</v>
      </c>
      <c r="D19" t="s">
        <v>327</v>
      </c>
      <c r="E19" s="2" t="s">
        <v>918</v>
      </c>
    </row>
    <row r="20" spans="1:5">
      <c r="A20" s="2">
        <v>19</v>
      </c>
      <c r="B20" t="s">
        <v>414</v>
      </c>
      <c r="C20" t="s">
        <v>381</v>
      </c>
      <c r="D20" t="s">
        <v>406</v>
      </c>
      <c r="E20" s="2" t="s">
        <v>918</v>
      </c>
    </row>
    <row r="21" spans="1:5">
      <c r="A21" s="2">
        <v>20</v>
      </c>
      <c r="B21" t="s">
        <v>418</v>
      </c>
      <c r="C21" t="s">
        <v>382</v>
      </c>
      <c r="D21" t="s">
        <v>406</v>
      </c>
      <c r="E21" s="2" t="s">
        <v>918</v>
      </c>
    </row>
    <row r="22" spans="1:5">
      <c r="A22" s="2">
        <v>21</v>
      </c>
      <c r="B22" t="s">
        <v>420</v>
      </c>
      <c r="C22" t="s">
        <v>519</v>
      </c>
      <c r="D22" t="s">
        <v>406</v>
      </c>
      <c r="E22" s="2" t="s">
        <v>918</v>
      </c>
    </row>
    <row r="23" spans="1:5">
      <c r="A23" s="2">
        <v>22</v>
      </c>
      <c r="B23" t="s">
        <v>412</v>
      </c>
      <c r="C23" t="s">
        <v>384</v>
      </c>
      <c r="D23" t="s">
        <v>406</v>
      </c>
      <c r="E23" s="2" t="s">
        <v>918</v>
      </c>
    </row>
    <row r="24" spans="1:5">
      <c r="A24" s="2">
        <v>23</v>
      </c>
      <c r="B24" t="s">
        <v>416</v>
      </c>
      <c r="C24" t="s">
        <v>391</v>
      </c>
      <c r="D24" t="s">
        <v>406</v>
      </c>
      <c r="E24" s="2" t="s">
        <v>918</v>
      </c>
    </row>
    <row r="25" spans="1:5">
      <c r="A25" s="2">
        <v>24</v>
      </c>
      <c r="B25" t="s">
        <v>419</v>
      </c>
      <c r="C25" t="s">
        <v>385</v>
      </c>
      <c r="D25" t="s">
        <v>406</v>
      </c>
      <c r="E25" s="2" t="s">
        <v>918</v>
      </c>
    </row>
    <row r="26" spans="1:5">
      <c r="A26" s="2">
        <v>25</v>
      </c>
      <c r="B26" t="s">
        <v>417</v>
      </c>
      <c r="C26" t="s">
        <v>387</v>
      </c>
      <c r="D26" t="s">
        <v>406</v>
      </c>
      <c r="E26" s="2" t="s">
        <v>918</v>
      </c>
    </row>
    <row r="27" spans="1:5">
      <c r="A27" s="2">
        <v>26</v>
      </c>
      <c r="B27" t="s">
        <v>415</v>
      </c>
      <c r="C27" t="s">
        <v>379</v>
      </c>
      <c r="D27" t="s">
        <v>406</v>
      </c>
      <c r="E27" s="2" t="s">
        <v>918</v>
      </c>
    </row>
    <row r="28" spans="1:5">
      <c r="A28" s="2">
        <v>27</v>
      </c>
      <c r="B28" t="s">
        <v>413</v>
      </c>
      <c r="C28" t="s">
        <v>389</v>
      </c>
      <c r="D28" t="s">
        <v>406</v>
      </c>
      <c r="E28" s="2" t="s">
        <v>918</v>
      </c>
    </row>
    <row r="29" spans="1:5">
      <c r="A29" s="2">
        <v>28</v>
      </c>
      <c r="B29" t="s">
        <v>538</v>
      </c>
      <c r="C29" t="s">
        <v>537</v>
      </c>
      <c r="D29" t="s">
        <v>327</v>
      </c>
      <c r="E29" s="2" t="s">
        <v>918</v>
      </c>
    </row>
  </sheetData>
  <sortState xmlns:xlrd2="http://schemas.microsoft.com/office/spreadsheetml/2017/richdata2" ref="F2:H37">
    <sortCondition ref="H2:H37"/>
  </sortState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85857-29F7-43A0-A0DD-059B945EF576}">
  <sheetPr codeName="Sheet7"/>
  <dimension ref="A1:L22"/>
  <sheetViews>
    <sheetView topLeftCell="B1" zoomScale="130" zoomScaleNormal="130" workbookViewId="0">
      <selection activeCell="F35" sqref="F35"/>
    </sheetView>
  </sheetViews>
  <sheetFormatPr defaultRowHeight="15"/>
  <cols>
    <col min="1" max="1" width="3.28515625" style="2" bestFit="1" customWidth="1"/>
    <col min="2" max="2" width="20.140625" bestFit="1" customWidth="1"/>
    <col min="3" max="3" width="16.42578125" bestFit="1" customWidth="1"/>
    <col min="4" max="4" width="25.28515625" bestFit="1" customWidth="1"/>
    <col min="5" max="5" width="19.7109375" bestFit="1" customWidth="1"/>
    <col min="6" max="6" width="39" bestFit="1" customWidth="1"/>
    <col min="7" max="7" width="7.42578125" bestFit="1" customWidth="1"/>
    <col min="8" max="8" width="7" bestFit="1" customWidth="1"/>
    <col min="9" max="9" width="26.42578125" bestFit="1" customWidth="1"/>
    <col min="10" max="10" width="17.42578125" bestFit="1" customWidth="1"/>
    <col min="11" max="11" width="15.42578125" bestFit="1" customWidth="1"/>
  </cols>
  <sheetData>
    <row r="1" spans="1:12">
      <c r="A1" s="21" t="s">
        <v>558</v>
      </c>
      <c r="B1" s="20" t="s">
        <v>888</v>
      </c>
      <c r="C1" s="20" t="s">
        <v>327</v>
      </c>
      <c r="D1" s="20" t="s">
        <v>324</v>
      </c>
      <c r="E1" s="20" t="s">
        <v>393</v>
      </c>
      <c r="F1" s="20" t="s">
        <v>394</v>
      </c>
      <c r="G1" s="20" t="s">
        <v>892</v>
      </c>
      <c r="H1" s="20" t="s">
        <v>527</v>
      </c>
      <c r="I1" s="20" t="s">
        <v>61</v>
      </c>
      <c r="J1" s="20" t="s">
        <v>890</v>
      </c>
      <c r="K1" s="20" t="s">
        <v>891</v>
      </c>
      <c r="L1" s="20" t="s">
        <v>944</v>
      </c>
    </row>
    <row r="2" spans="1:12">
      <c r="A2" s="2">
        <v>1</v>
      </c>
      <c r="B2" t="s">
        <v>481</v>
      </c>
      <c r="C2" t="s">
        <v>352</v>
      </c>
      <c r="D2" t="s">
        <v>392</v>
      </c>
      <c r="G2" t="s">
        <v>402</v>
      </c>
      <c r="J2" t="s">
        <v>414</v>
      </c>
      <c r="K2" t="s">
        <v>450</v>
      </c>
    </row>
    <row r="3" spans="1:12">
      <c r="A3" s="2">
        <v>2</v>
      </c>
      <c r="B3" t="s">
        <v>485</v>
      </c>
      <c r="C3" t="s">
        <v>354</v>
      </c>
      <c r="D3" t="s">
        <v>392</v>
      </c>
      <c r="G3" t="s">
        <v>402</v>
      </c>
      <c r="I3" t="s">
        <v>997</v>
      </c>
      <c r="J3" t="s">
        <v>418</v>
      </c>
      <c r="K3" t="s">
        <v>457</v>
      </c>
    </row>
    <row r="4" spans="1:12">
      <c r="A4" s="2">
        <f>A3+1</f>
        <v>3</v>
      </c>
      <c r="B4" t="s">
        <v>479</v>
      </c>
      <c r="C4" t="s">
        <v>356</v>
      </c>
      <c r="D4" t="s">
        <v>392</v>
      </c>
      <c r="G4" t="s">
        <v>402</v>
      </c>
      <c r="J4" t="s">
        <v>412</v>
      </c>
      <c r="K4" t="s">
        <v>448</v>
      </c>
    </row>
    <row r="5" spans="1:12">
      <c r="A5" s="2">
        <f t="shared" ref="A5:A22" si="0">A4+1</f>
        <v>4</v>
      </c>
      <c r="B5" t="s">
        <v>483</v>
      </c>
      <c r="C5" t="s">
        <v>357</v>
      </c>
      <c r="D5" t="s">
        <v>392</v>
      </c>
      <c r="G5" t="s">
        <v>402</v>
      </c>
      <c r="J5" t="s">
        <v>416</v>
      </c>
      <c r="K5" t="s">
        <v>453</v>
      </c>
    </row>
    <row r="6" spans="1:12">
      <c r="A6" s="2">
        <f t="shared" si="0"/>
        <v>5</v>
      </c>
      <c r="B6" t="s">
        <v>486</v>
      </c>
      <c r="C6" t="s">
        <v>358</v>
      </c>
      <c r="D6" t="s">
        <v>392</v>
      </c>
      <c r="G6" t="s">
        <v>402</v>
      </c>
      <c r="I6" t="s">
        <v>1008</v>
      </c>
      <c r="J6" t="s">
        <v>419</v>
      </c>
      <c r="K6" t="s">
        <v>459</v>
      </c>
    </row>
    <row r="7" spans="1:12">
      <c r="A7" s="2">
        <f t="shared" si="0"/>
        <v>6</v>
      </c>
      <c r="B7" t="s">
        <v>484</v>
      </c>
      <c r="C7" t="s">
        <v>359</v>
      </c>
      <c r="D7" t="s">
        <v>392</v>
      </c>
      <c r="G7" t="s">
        <v>402</v>
      </c>
      <c r="J7" t="s">
        <v>417</v>
      </c>
      <c r="K7" t="s">
        <v>455</v>
      </c>
    </row>
    <row r="8" spans="1:12">
      <c r="A8" s="2">
        <f t="shared" si="0"/>
        <v>7</v>
      </c>
      <c r="B8" t="s">
        <v>482</v>
      </c>
      <c r="C8" t="s">
        <v>360</v>
      </c>
      <c r="D8" t="s">
        <v>392</v>
      </c>
      <c r="G8" t="s">
        <v>402</v>
      </c>
      <c r="J8" t="s">
        <v>415</v>
      </c>
      <c r="K8" t="s">
        <v>452</v>
      </c>
    </row>
    <row r="9" spans="1:12">
      <c r="A9" s="2">
        <f t="shared" si="0"/>
        <v>8</v>
      </c>
      <c r="B9" t="s">
        <v>480</v>
      </c>
      <c r="C9" t="s">
        <v>362</v>
      </c>
      <c r="D9" t="s">
        <v>392</v>
      </c>
      <c r="G9" t="s">
        <v>402</v>
      </c>
      <c r="J9" t="s">
        <v>413</v>
      </c>
      <c r="K9" t="s">
        <v>399</v>
      </c>
    </row>
    <row r="10" spans="1:12">
      <c r="A10" s="2">
        <f t="shared" si="0"/>
        <v>9</v>
      </c>
      <c r="B10" t="s">
        <v>472</v>
      </c>
      <c r="C10" t="s">
        <v>352</v>
      </c>
      <c r="D10" t="s">
        <v>392</v>
      </c>
      <c r="G10" t="s">
        <v>550</v>
      </c>
      <c r="J10" t="s">
        <v>414</v>
      </c>
      <c r="K10" t="s">
        <v>435</v>
      </c>
      <c r="L10" t="s">
        <v>396</v>
      </c>
    </row>
    <row r="11" spans="1:12">
      <c r="A11" s="2">
        <f t="shared" si="0"/>
        <v>10</v>
      </c>
      <c r="B11" t="s">
        <v>476</v>
      </c>
      <c r="C11" t="s">
        <v>354</v>
      </c>
      <c r="D11" t="s">
        <v>392</v>
      </c>
      <c r="G11" t="s">
        <v>550</v>
      </c>
      <c r="H11" t="s">
        <v>527</v>
      </c>
      <c r="I11" t="s">
        <v>997</v>
      </c>
      <c r="J11" t="s">
        <v>418</v>
      </c>
      <c r="K11" t="s">
        <v>443</v>
      </c>
      <c r="L11" t="s">
        <v>396</v>
      </c>
    </row>
    <row r="12" spans="1:12">
      <c r="A12" s="2">
        <f t="shared" si="0"/>
        <v>11</v>
      </c>
      <c r="B12" t="s">
        <v>478</v>
      </c>
      <c r="C12" t="s">
        <v>411</v>
      </c>
      <c r="D12" t="s">
        <v>392</v>
      </c>
      <c r="G12" t="s">
        <v>550</v>
      </c>
      <c r="H12" t="s">
        <v>527</v>
      </c>
      <c r="J12" t="s">
        <v>420</v>
      </c>
      <c r="K12" t="s">
        <v>447</v>
      </c>
      <c r="L12" t="s">
        <v>396</v>
      </c>
    </row>
    <row r="13" spans="1:12">
      <c r="A13" s="2">
        <f t="shared" si="0"/>
        <v>12</v>
      </c>
      <c r="B13" t="s">
        <v>470</v>
      </c>
      <c r="C13" t="s">
        <v>356</v>
      </c>
      <c r="D13" t="s">
        <v>392</v>
      </c>
      <c r="G13" t="s">
        <v>550</v>
      </c>
      <c r="J13" t="s">
        <v>412</v>
      </c>
      <c r="K13" t="s">
        <v>433</v>
      </c>
      <c r="L13" t="s">
        <v>396</v>
      </c>
    </row>
    <row r="14" spans="1:12">
      <c r="A14" s="2">
        <f t="shared" si="0"/>
        <v>13</v>
      </c>
      <c r="B14" t="s">
        <v>474</v>
      </c>
      <c r="C14" t="s">
        <v>357</v>
      </c>
      <c r="D14" t="s">
        <v>392</v>
      </c>
      <c r="G14" t="s">
        <v>550</v>
      </c>
      <c r="J14" t="s">
        <v>416</v>
      </c>
      <c r="K14" t="s">
        <v>439</v>
      </c>
      <c r="L14" t="s">
        <v>396</v>
      </c>
    </row>
    <row r="15" spans="1:12">
      <c r="A15" s="2">
        <f t="shared" si="0"/>
        <v>14</v>
      </c>
      <c r="B15" t="s">
        <v>477</v>
      </c>
      <c r="C15" t="s">
        <v>358</v>
      </c>
      <c r="D15" t="s">
        <v>392</v>
      </c>
      <c r="G15" t="s">
        <v>550</v>
      </c>
      <c r="H15" t="s">
        <v>527</v>
      </c>
      <c r="I15" t="s">
        <v>1008</v>
      </c>
      <c r="J15" t="s">
        <v>419</v>
      </c>
      <c r="K15" t="s">
        <v>445</v>
      </c>
      <c r="L15" t="s">
        <v>396</v>
      </c>
    </row>
    <row r="16" spans="1:12">
      <c r="A16" s="2">
        <f t="shared" si="0"/>
        <v>15</v>
      </c>
      <c r="B16" t="s">
        <v>475</v>
      </c>
      <c r="C16" t="s">
        <v>359</v>
      </c>
      <c r="D16" t="s">
        <v>392</v>
      </c>
      <c r="G16" t="s">
        <v>550</v>
      </c>
      <c r="J16" t="s">
        <v>417</v>
      </c>
      <c r="K16" t="s">
        <v>441</v>
      </c>
      <c r="L16" t="s">
        <v>396</v>
      </c>
    </row>
    <row r="17" spans="1:12">
      <c r="A17" s="2">
        <f t="shared" si="0"/>
        <v>16</v>
      </c>
      <c r="B17" t="s">
        <v>473</v>
      </c>
      <c r="C17" t="s">
        <v>360</v>
      </c>
      <c r="D17" t="s">
        <v>392</v>
      </c>
      <c r="G17" t="s">
        <v>550</v>
      </c>
      <c r="J17" t="s">
        <v>415</v>
      </c>
      <c r="K17" t="s">
        <v>437</v>
      </c>
      <c r="L17" t="s">
        <v>396</v>
      </c>
    </row>
    <row r="18" spans="1:12">
      <c r="A18" s="2">
        <f t="shared" si="0"/>
        <v>17</v>
      </c>
      <c r="B18" t="s">
        <v>471</v>
      </c>
      <c r="C18" t="s">
        <v>362</v>
      </c>
      <c r="D18" t="s">
        <v>392</v>
      </c>
      <c r="G18" t="s">
        <v>550</v>
      </c>
      <c r="J18" t="s">
        <v>413</v>
      </c>
      <c r="K18" t="s">
        <v>408</v>
      </c>
      <c r="L18" t="s">
        <v>396</v>
      </c>
    </row>
    <row r="19" spans="1:12">
      <c r="A19" s="2">
        <f t="shared" si="0"/>
        <v>18</v>
      </c>
      <c r="B19" t="s">
        <v>537</v>
      </c>
      <c r="C19" t="s">
        <v>363</v>
      </c>
      <c r="D19" t="s">
        <v>536</v>
      </c>
      <c r="E19" t="s">
        <v>893</v>
      </c>
      <c r="F19" t="s">
        <v>897</v>
      </c>
      <c r="G19" t="s">
        <v>550</v>
      </c>
      <c r="J19" t="s">
        <v>538</v>
      </c>
      <c r="K19" t="s">
        <v>538</v>
      </c>
      <c r="L19" t="s">
        <v>950</v>
      </c>
    </row>
    <row r="20" spans="1:12">
      <c r="A20" s="2">
        <f t="shared" si="0"/>
        <v>19</v>
      </c>
      <c r="B20" t="s">
        <v>537</v>
      </c>
      <c r="C20" t="s">
        <v>361</v>
      </c>
      <c r="D20" t="s">
        <v>536</v>
      </c>
      <c r="E20" t="s">
        <v>894</v>
      </c>
      <c r="F20" t="s">
        <v>898</v>
      </c>
      <c r="G20" t="s">
        <v>550</v>
      </c>
      <c r="H20" t="s">
        <v>527</v>
      </c>
      <c r="J20" t="s">
        <v>538</v>
      </c>
      <c r="K20" t="s">
        <v>538</v>
      </c>
      <c r="L20" t="s">
        <v>915</v>
      </c>
    </row>
    <row r="21" spans="1:12">
      <c r="A21" s="2">
        <f t="shared" si="0"/>
        <v>20</v>
      </c>
      <c r="B21" t="s">
        <v>537</v>
      </c>
      <c r="C21" t="s">
        <v>353</v>
      </c>
      <c r="D21" t="s">
        <v>536</v>
      </c>
      <c r="E21" t="s">
        <v>895</v>
      </c>
      <c r="F21" t="s">
        <v>899</v>
      </c>
      <c r="G21" t="s">
        <v>550</v>
      </c>
      <c r="J21" t="s">
        <v>538</v>
      </c>
      <c r="K21" t="s">
        <v>538</v>
      </c>
      <c r="L21" t="s">
        <v>951</v>
      </c>
    </row>
    <row r="22" spans="1:12">
      <c r="A22" s="2">
        <f t="shared" si="0"/>
        <v>21</v>
      </c>
      <c r="B22" t="s">
        <v>537</v>
      </c>
      <c r="C22" t="s">
        <v>355</v>
      </c>
      <c r="D22" t="s">
        <v>536</v>
      </c>
      <c r="E22" t="s">
        <v>896</v>
      </c>
      <c r="F22" t="s">
        <v>900</v>
      </c>
      <c r="G22" t="s">
        <v>550</v>
      </c>
      <c r="J22" t="s">
        <v>538</v>
      </c>
      <c r="K22" t="s">
        <v>538</v>
      </c>
      <c r="L22" t="s">
        <v>916</v>
      </c>
    </row>
  </sheetData>
  <sortState xmlns:xlrd2="http://schemas.microsoft.com/office/spreadsheetml/2017/richdata2" ref="B2:K22">
    <sortCondition ref="B1:B22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74901-A7C5-4318-9E8E-DCFF7A02FA62}">
  <sheetPr codeName="Sheet14"/>
  <dimension ref="A1:D14"/>
  <sheetViews>
    <sheetView zoomScale="130" zoomScaleNormal="130" workbookViewId="0">
      <selection activeCell="B5" sqref="B5:C5"/>
    </sheetView>
  </sheetViews>
  <sheetFormatPr defaultRowHeight="15"/>
  <cols>
    <col min="1" max="1" width="4.85546875" style="2" customWidth="1"/>
    <col min="2" max="2" width="20.140625" bestFit="1" customWidth="1"/>
    <col min="3" max="3" width="11" customWidth="1"/>
    <col min="4" max="4" width="11.7109375" bestFit="1" customWidth="1"/>
    <col min="5" max="5" width="22.42578125" bestFit="1" customWidth="1"/>
    <col min="6" max="6" width="15.7109375" bestFit="1" customWidth="1"/>
    <col min="7" max="7" width="41.42578125" bestFit="1" customWidth="1"/>
    <col min="8" max="8" width="7" bestFit="1" customWidth="1"/>
    <col min="9" max="9" width="8.42578125" bestFit="1" customWidth="1"/>
    <col min="10" max="10" width="17.42578125" bestFit="1" customWidth="1"/>
    <col min="11" max="11" width="15.5703125" bestFit="1" customWidth="1"/>
    <col min="12" max="12" width="7" bestFit="1" customWidth="1"/>
  </cols>
  <sheetData>
    <row r="1" spans="1:4">
      <c r="A1" s="21" t="s">
        <v>558</v>
      </c>
      <c r="B1" s="20" t="s">
        <v>327</v>
      </c>
      <c r="C1" s="20" t="s">
        <v>351</v>
      </c>
      <c r="D1" s="20" t="s">
        <v>0</v>
      </c>
    </row>
    <row r="2" spans="1:4">
      <c r="A2" s="2">
        <v>1</v>
      </c>
      <c r="B2" t="s">
        <v>356</v>
      </c>
      <c r="C2" t="s">
        <v>395</v>
      </c>
      <c r="D2" t="s">
        <v>44</v>
      </c>
    </row>
    <row r="3" spans="1:4">
      <c r="A3" s="2">
        <v>2</v>
      </c>
      <c r="B3" t="s">
        <v>362</v>
      </c>
      <c r="C3" t="s">
        <v>395</v>
      </c>
      <c r="D3" t="s">
        <v>75</v>
      </c>
    </row>
    <row r="4" spans="1:4">
      <c r="A4" s="2">
        <v>3</v>
      </c>
      <c r="B4" t="s">
        <v>352</v>
      </c>
      <c r="C4" t="s">
        <v>395</v>
      </c>
      <c r="D4" t="s">
        <v>94</v>
      </c>
    </row>
    <row r="5" spans="1:4">
      <c r="A5" s="2">
        <v>4</v>
      </c>
      <c r="B5" t="s">
        <v>360</v>
      </c>
      <c r="C5" t="s">
        <v>395</v>
      </c>
      <c r="D5" t="s">
        <v>99</v>
      </c>
    </row>
    <row r="6" spans="1:4">
      <c r="A6" s="2">
        <v>5</v>
      </c>
      <c r="B6" t="s">
        <v>357</v>
      </c>
      <c r="C6" t="s">
        <v>395</v>
      </c>
      <c r="D6" t="s">
        <v>77</v>
      </c>
    </row>
    <row r="7" spans="1:4">
      <c r="A7" s="2">
        <v>6</v>
      </c>
      <c r="B7" t="s">
        <v>359</v>
      </c>
      <c r="C7" t="s">
        <v>395</v>
      </c>
      <c r="D7" t="s">
        <v>97</v>
      </c>
    </row>
    <row r="8" spans="1:4">
      <c r="A8" s="2">
        <v>7</v>
      </c>
      <c r="B8" t="s">
        <v>354</v>
      </c>
      <c r="C8" t="s">
        <v>395</v>
      </c>
      <c r="D8" t="s">
        <v>85</v>
      </c>
    </row>
    <row r="9" spans="1:4">
      <c r="A9" s="2">
        <v>8</v>
      </c>
      <c r="B9" t="s">
        <v>358</v>
      </c>
      <c r="C9" t="s">
        <v>395</v>
      </c>
      <c r="D9" t="s">
        <v>54</v>
      </c>
    </row>
    <row r="10" spans="1:4">
      <c r="A10" s="2">
        <v>9</v>
      </c>
      <c r="B10" t="s">
        <v>411</v>
      </c>
      <c r="C10" t="s">
        <v>395</v>
      </c>
      <c r="D10" t="s">
        <v>256</v>
      </c>
    </row>
    <row r="11" spans="1:4">
      <c r="A11" s="2">
        <v>10</v>
      </c>
      <c r="B11" t="s">
        <v>363</v>
      </c>
      <c r="C11" t="s">
        <v>395</v>
      </c>
      <c r="D11" t="s">
        <v>3</v>
      </c>
    </row>
    <row r="12" spans="1:4">
      <c r="A12" s="2">
        <v>11</v>
      </c>
      <c r="B12" t="s">
        <v>361</v>
      </c>
      <c r="C12" t="s">
        <v>395</v>
      </c>
      <c r="D12" t="s">
        <v>73</v>
      </c>
    </row>
    <row r="13" spans="1:4">
      <c r="A13" s="2">
        <v>12</v>
      </c>
      <c r="B13" t="s">
        <v>353</v>
      </c>
      <c r="C13" t="s">
        <v>395</v>
      </c>
      <c r="D13" t="s">
        <v>1</v>
      </c>
    </row>
    <row r="14" spans="1:4">
      <c r="A14" s="2">
        <v>13</v>
      </c>
      <c r="B14" t="s">
        <v>355</v>
      </c>
      <c r="C14" t="s">
        <v>395</v>
      </c>
      <c r="D14" t="s">
        <v>27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080B5-D011-439A-9203-F587D456B942}">
  <sheetPr codeName="Sheet2"/>
  <dimension ref="A1:L82"/>
  <sheetViews>
    <sheetView topLeftCell="A49" zoomScale="130" zoomScaleNormal="130" workbookViewId="0">
      <selection activeCell="B65" sqref="B65:K67"/>
    </sheetView>
  </sheetViews>
  <sheetFormatPr defaultColWidth="16.28515625" defaultRowHeight="15"/>
  <cols>
    <col min="1" max="1" width="3.28515625" style="2" bestFit="1" customWidth="1"/>
    <col min="2" max="2" width="16.42578125" bestFit="1" customWidth="1"/>
    <col min="3" max="3" width="20.5703125" bestFit="1" customWidth="1"/>
    <col min="4" max="4" width="8.28515625" style="2" bestFit="1" customWidth="1"/>
    <col min="5" max="5" width="19.5703125" bestFit="1" customWidth="1"/>
    <col min="6" max="6" width="17.28515625" bestFit="1" customWidth="1"/>
    <col min="7" max="7" width="4.5703125" style="2" bestFit="1" customWidth="1"/>
    <col min="8" max="8" width="8.5703125" style="2" bestFit="1" customWidth="1"/>
    <col min="9" max="9" width="12.28515625" bestFit="1" customWidth="1"/>
    <col min="10" max="10" width="5.28515625" style="2" bestFit="1" customWidth="1"/>
    <col min="11" max="11" width="25.140625" bestFit="1" customWidth="1"/>
    <col min="12" max="12" width="5.5703125" bestFit="1" customWidth="1"/>
  </cols>
  <sheetData>
    <row r="1" spans="1:12" s="2" customFormat="1">
      <c r="A1" s="21" t="s">
        <v>558</v>
      </c>
      <c r="B1" s="20" t="s">
        <v>327</v>
      </c>
      <c r="C1" s="20" t="s">
        <v>901</v>
      </c>
      <c r="D1" s="20" t="s">
        <v>914</v>
      </c>
      <c r="E1" s="20" t="s">
        <v>373</v>
      </c>
      <c r="F1" s="20" t="s">
        <v>291</v>
      </c>
      <c r="G1" s="20" t="s">
        <v>328</v>
      </c>
      <c r="H1" s="20" t="s">
        <v>207</v>
      </c>
      <c r="I1" s="20" t="s">
        <v>364</v>
      </c>
      <c r="J1" s="20" t="s">
        <v>322</v>
      </c>
      <c r="K1" s="20" t="s">
        <v>324</v>
      </c>
      <c r="L1" s="20" t="s">
        <v>365</v>
      </c>
    </row>
    <row r="2" spans="1:12">
      <c r="A2" s="2">
        <v>1</v>
      </c>
      <c r="B2" t="s">
        <v>353</v>
      </c>
      <c r="C2" t="s">
        <v>17</v>
      </c>
      <c r="D2" s="2" t="s">
        <v>917</v>
      </c>
      <c r="F2" t="s">
        <v>294</v>
      </c>
      <c r="G2" s="2">
        <v>3</v>
      </c>
      <c r="H2" s="2" t="s">
        <v>7</v>
      </c>
      <c r="I2" t="str">
        <f>IFERROR(VLOOKUP($H2,form_template,2,FALSE),"")</f>
        <v>form-control</v>
      </c>
      <c r="J2" s="2" t="str">
        <f>IFERROR(VLOOKUP($H2,form_template,3,FALSE),"")</f>
        <v>date</v>
      </c>
      <c r="K2" t="str">
        <f>IFERROR(VLOOKUP($H2,form_template,4,FALSE),"")</f>
        <v/>
      </c>
      <c r="L2" t="str">
        <f>IFERROR(VLOOKUP($H2,form_template,5,FALSE),"")</f>
        <v/>
      </c>
    </row>
    <row r="3" spans="1:12">
      <c r="A3" s="2">
        <v>2</v>
      </c>
      <c r="B3" t="s">
        <v>353</v>
      </c>
      <c r="C3" t="s">
        <v>18</v>
      </c>
      <c r="D3" s="2" t="s">
        <v>911</v>
      </c>
      <c r="F3" t="s">
        <v>19</v>
      </c>
      <c r="G3" s="2">
        <v>9</v>
      </c>
      <c r="H3" s="2" t="s">
        <v>20</v>
      </c>
      <c r="I3" t="str">
        <f>IFERROR(VLOOKUP($H3,form_template,2,FALSE),"")</f>
        <v>form-control</v>
      </c>
      <c r="J3" s="2" t="str">
        <f>IFERROR(VLOOKUP($H3,form_template,3,FALSE),"")</f>
        <v/>
      </c>
      <c r="K3" t="str">
        <f>IFERROR(VLOOKUP($H3,form_template,4,FALSE),"")</f>
        <v>widgets/image_input.html</v>
      </c>
      <c r="L3" t="str">
        <f>IFERROR(VLOOKUP($H3,form_template,5,FALSE),"")</f>
        <v/>
      </c>
    </row>
    <row r="4" spans="1:12">
      <c r="A4" s="2">
        <v>3</v>
      </c>
      <c r="B4" t="s">
        <v>353</v>
      </c>
      <c r="C4" t="s">
        <v>4</v>
      </c>
      <c r="D4" s="2" t="s">
        <v>917</v>
      </c>
      <c r="F4" t="s">
        <v>5</v>
      </c>
      <c r="G4" s="2">
        <v>6</v>
      </c>
      <c r="H4" s="2" t="s">
        <v>368</v>
      </c>
      <c r="I4" t="str">
        <f t="shared" ref="I4:I31" si="0">IFERROR(VLOOKUP($H4,form_template,2,FALSE),"")</f>
        <v>form-control</v>
      </c>
      <c r="J4" s="2" t="str">
        <f t="shared" ref="J4:J31" si="1">IFERROR(VLOOKUP($H4,form_template,3,FALSE),"")</f>
        <v/>
      </c>
      <c r="K4" t="str">
        <f t="shared" ref="K4:K31" si="2">IFERROR(VLOOKUP($H4,form_template,4,FALSE),"")</f>
        <v/>
      </c>
      <c r="L4" t="str">
        <f t="shared" ref="L4:L31" si="3">IFERROR(VLOOKUP($H4,form_template,5,FALSE),"")</f>
        <v/>
      </c>
    </row>
    <row r="5" spans="1:12">
      <c r="A5" s="2">
        <v>4</v>
      </c>
      <c r="B5" t="s">
        <v>353</v>
      </c>
      <c r="C5" t="s">
        <v>6</v>
      </c>
      <c r="D5" s="2" t="s">
        <v>911</v>
      </c>
      <c r="F5" t="s">
        <v>293</v>
      </c>
      <c r="G5" s="2">
        <v>6</v>
      </c>
      <c r="H5" s="2" t="s">
        <v>368</v>
      </c>
      <c r="I5" t="str">
        <f t="shared" si="0"/>
        <v>form-control</v>
      </c>
      <c r="J5" s="2" t="str">
        <f t="shared" si="1"/>
        <v/>
      </c>
      <c r="K5" t="str">
        <f t="shared" si="2"/>
        <v/>
      </c>
      <c r="L5" t="str">
        <f t="shared" si="3"/>
        <v/>
      </c>
    </row>
    <row r="6" spans="1:12">
      <c r="A6" s="2">
        <v>5</v>
      </c>
      <c r="B6" t="s">
        <v>353</v>
      </c>
      <c r="C6" t="s">
        <v>8</v>
      </c>
      <c r="D6" s="2" t="s">
        <v>917</v>
      </c>
      <c r="F6" t="s">
        <v>9</v>
      </c>
      <c r="G6" s="2">
        <v>4</v>
      </c>
      <c r="H6" s="2" t="s">
        <v>368</v>
      </c>
      <c r="I6" t="str">
        <f t="shared" si="0"/>
        <v>form-control</v>
      </c>
      <c r="J6" s="2" t="str">
        <f t="shared" si="1"/>
        <v/>
      </c>
      <c r="K6" t="str">
        <f t="shared" si="2"/>
        <v/>
      </c>
      <c r="L6" t="str">
        <f t="shared" si="3"/>
        <v/>
      </c>
    </row>
    <row r="7" spans="1:12">
      <c r="A7" s="2">
        <v>6</v>
      </c>
      <c r="B7" t="s">
        <v>353</v>
      </c>
      <c r="C7" t="s">
        <v>10</v>
      </c>
      <c r="D7" s="2" t="s">
        <v>292</v>
      </c>
      <c r="F7" t="s">
        <v>11</v>
      </c>
      <c r="G7" s="2">
        <v>4</v>
      </c>
      <c r="H7" s="2" t="s">
        <v>368</v>
      </c>
      <c r="I7" t="str">
        <f t="shared" si="0"/>
        <v>form-control</v>
      </c>
      <c r="J7" s="2" t="str">
        <f t="shared" si="1"/>
        <v/>
      </c>
      <c r="K7" t="str">
        <f t="shared" si="2"/>
        <v/>
      </c>
      <c r="L7" t="str">
        <f t="shared" si="3"/>
        <v/>
      </c>
    </row>
    <row r="8" spans="1:12">
      <c r="A8" s="2">
        <v>7</v>
      </c>
      <c r="B8" t="s">
        <v>353</v>
      </c>
      <c r="C8" t="s">
        <v>12</v>
      </c>
      <c r="D8" s="2" t="s">
        <v>911</v>
      </c>
      <c r="F8" t="s">
        <v>13</v>
      </c>
      <c r="G8" s="2">
        <v>4</v>
      </c>
      <c r="H8" s="2" t="s">
        <v>368</v>
      </c>
      <c r="I8" t="str">
        <f t="shared" si="0"/>
        <v>form-control</v>
      </c>
      <c r="J8" s="2" t="str">
        <f t="shared" si="1"/>
        <v/>
      </c>
      <c r="K8" t="str">
        <f t="shared" si="2"/>
        <v/>
      </c>
      <c r="L8" t="str">
        <f t="shared" si="3"/>
        <v/>
      </c>
    </row>
    <row r="9" spans="1:12">
      <c r="A9" s="2">
        <v>8</v>
      </c>
      <c r="B9" t="s">
        <v>353</v>
      </c>
      <c r="C9" t="s">
        <v>14</v>
      </c>
      <c r="D9" s="2" t="s">
        <v>917</v>
      </c>
      <c r="F9" t="s">
        <v>15</v>
      </c>
      <c r="G9" s="2">
        <v>3</v>
      </c>
      <c r="H9" s="2" t="s">
        <v>16</v>
      </c>
      <c r="I9" t="str">
        <f t="shared" si="0"/>
        <v>form-control</v>
      </c>
      <c r="J9" s="2" t="str">
        <f t="shared" si="1"/>
        <v>tel</v>
      </c>
      <c r="K9" t="str">
        <f t="shared" si="2"/>
        <v>widgets/phone.html</v>
      </c>
      <c r="L9" t="str">
        <f t="shared" si="3"/>
        <v/>
      </c>
    </row>
    <row r="10" spans="1:12">
      <c r="A10" s="2">
        <v>9</v>
      </c>
      <c r="B10" t="s">
        <v>353</v>
      </c>
      <c r="C10" t="s">
        <v>21</v>
      </c>
      <c r="D10" s="2" t="s">
        <v>911</v>
      </c>
      <c r="F10" t="s">
        <v>22</v>
      </c>
      <c r="G10" s="2">
        <v>9</v>
      </c>
      <c r="H10" s="2" t="s">
        <v>20</v>
      </c>
      <c r="I10" t="str">
        <f t="shared" si="0"/>
        <v>form-control</v>
      </c>
      <c r="J10" s="2" t="str">
        <f t="shared" si="1"/>
        <v/>
      </c>
      <c r="K10" t="str">
        <f t="shared" si="2"/>
        <v>widgets/image_input.html</v>
      </c>
      <c r="L10" t="str">
        <f t="shared" si="3"/>
        <v/>
      </c>
    </row>
    <row r="11" spans="1:12">
      <c r="A11" s="2">
        <v>10</v>
      </c>
      <c r="B11" t="s">
        <v>353</v>
      </c>
      <c r="C11" t="s">
        <v>23</v>
      </c>
      <c r="D11" s="2" t="s">
        <v>917</v>
      </c>
      <c r="F11" t="s">
        <v>316</v>
      </c>
      <c r="G11" s="2">
        <v>3</v>
      </c>
      <c r="H11" s="2" t="s">
        <v>368</v>
      </c>
      <c r="I11" t="str">
        <f t="shared" si="0"/>
        <v>form-control</v>
      </c>
      <c r="J11" s="2" t="str">
        <f t="shared" si="1"/>
        <v/>
      </c>
      <c r="K11" t="str">
        <f t="shared" si="2"/>
        <v/>
      </c>
      <c r="L11" t="str">
        <f t="shared" si="3"/>
        <v/>
      </c>
    </row>
    <row r="12" spans="1:12">
      <c r="A12" s="2">
        <v>11</v>
      </c>
      <c r="B12" t="s">
        <v>353</v>
      </c>
      <c r="C12" t="s">
        <v>25</v>
      </c>
      <c r="D12" s="2" t="s">
        <v>911</v>
      </c>
      <c r="F12" t="s">
        <v>26</v>
      </c>
      <c r="G12" s="2">
        <v>9</v>
      </c>
      <c r="H12" s="2" t="s">
        <v>20</v>
      </c>
      <c r="I12" t="str">
        <f t="shared" si="0"/>
        <v>form-control</v>
      </c>
      <c r="J12" s="2" t="str">
        <f t="shared" si="1"/>
        <v/>
      </c>
      <c r="K12" t="str">
        <f t="shared" si="2"/>
        <v>widgets/image_input.html</v>
      </c>
      <c r="L12" t="str">
        <f t="shared" si="3"/>
        <v/>
      </c>
    </row>
    <row r="13" spans="1:12">
      <c r="A13" s="2">
        <v>12</v>
      </c>
      <c r="B13" t="s">
        <v>352</v>
      </c>
      <c r="C13" t="s">
        <v>95</v>
      </c>
      <c r="D13" s="2" t="s">
        <v>918</v>
      </c>
      <c r="F13" t="s">
        <v>75</v>
      </c>
      <c r="G13" s="2">
        <v>12</v>
      </c>
      <c r="H13" s="2" t="s">
        <v>368</v>
      </c>
      <c r="I13" t="str">
        <f t="shared" si="0"/>
        <v>form-control</v>
      </c>
      <c r="J13" s="2" t="str">
        <f t="shared" si="1"/>
        <v/>
      </c>
      <c r="K13" t="str">
        <f t="shared" si="2"/>
        <v/>
      </c>
      <c r="L13" t="str">
        <f t="shared" si="3"/>
        <v/>
      </c>
    </row>
    <row r="14" spans="1:12">
      <c r="A14" s="2">
        <v>13</v>
      </c>
      <c r="B14" t="s">
        <v>352</v>
      </c>
      <c r="C14" t="s">
        <v>45</v>
      </c>
      <c r="D14" s="2" t="s">
        <v>917</v>
      </c>
      <c r="F14" t="s">
        <v>46</v>
      </c>
      <c r="G14" s="2">
        <v>6</v>
      </c>
      <c r="H14" s="2" t="s">
        <v>368</v>
      </c>
      <c r="I14" t="str">
        <f t="shared" si="0"/>
        <v>form-control</v>
      </c>
      <c r="J14" s="2" t="str">
        <f t="shared" si="1"/>
        <v/>
      </c>
      <c r="K14" t="str">
        <f t="shared" si="2"/>
        <v/>
      </c>
      <c r="L14" t="str">
        <f t="shared" si="3"/>
        <v/>
      </c>
    </row>
    <row r="15" spans="1:12">
      <c r="A15" s="2">
        <v>14</v>
      </c>
      <c r="B15" t="s">
        <v>352</v>
      </c>
      <c r="C15" t="s">
        <v>96</v>
      </c>
      <c r="D15" s="2" t="s">
        <v>911</v>
      </c>
      <c r="F15" t="s">
        <v>295</v>
      </c>
      <c r="G15" s="2">
        <v>6</v>
      </c>
      <c r="H15" s="2" t="s">
        <v>368</v>
      </c>
      <c r="I15" t="str">
        <f t="shared" si="0"/>
        <v>form-control</v>
      </c>
      <c r="J15" s="2" t="str">
        <f t="shared" si="1"/>
        <v/>
      </c>
      <c r="K15" t="str">
        <f t="shared" si="2"/>
        <v/>
      </c>
      <c r="L15" t="str">
        <f t="shared" si="3"/>
        <v/>
      </c>
    </row>
    <row r="16" spans="1:12">
      <c r="A16" s="2">
        <v>15</v>
      </c>
      <c r="B16" t="s">
        <v>354</v>
      </c>
      <c r="C16" t="s">
        <v>86</v>
      </c>
      <c r="D16" s="2" t="s">
        <v>917</v>
      </c>
      <c r="F16" t="s">
        <v>27</v>
      </c>
      <c r="G16" s="2">
        <v>4</v>
      </c>
      <c r="H16" s="2" t="s">
        <v>368</v>
      </c>
      <c r="I16" t="str">
        <f t="shared" si="0"/>
        <v>form-control</v>
      </c>
      <c r="J16" s="2" t="str">
        <f t="shared" si="1"/>
        <v/>
      </c>
      <c r="K16" t="str">
        <f t="shared" si="2"/>
        <v/>
      </c>
      <c r="L16" t="str">
        <f t="shared" si="3"/>
        <v/>
      </c>
    </row>
    <row r="17" spans="1:12">
      <c r="A17" s="2">
        <v>16</v>
      </c>
      <c r="B17" t="s">
        <v>354</v>
      </c>
      <c r="C17" t="s">
        <v>87</v>
      </c>
      <c r="D17" s="2" t="s">
        <v>292</v>
      </c>
      <c r="F17" t="s">
        <v>1</v>
      </c>
      <c r="G17" s="2">
        <v>4</v>
      </c>
      <c r="H17" s="2" t="s">
        <v>368</v>
      </c>
      <c r="I17" t="str">
        <f t="shared" si="0"/>
        <v>form-control</v>
      </c>
      <c r="J17" s="2" t="str">
        <f t="shared" si="1"/>
        <v/>
      </c>
      <c r="K17" t="str">
        <f t="shared" si="2"/>
        <v/>
      </c>
      <c r="L17" t="str">
        <f t="shared" si="3"/>
        <v/>
      </c>
    </row>
    <row r="18" spans="1:12">
      <c r="A18" s="2">
        <v>17</v>
      </c>
      <c r="B18" t="s">
        <v>354</v>
      </c>
      <c r="C18" t="s">
        <v>7</v>
      </c>
      <c r="D18" s="2" t="s">
        <v>911</v>
      </c>
      <c r="F18" t="s">
        <v>88</v>
      </c>
      <c r="G18" s="2">
        <v>4</v>
      </c>
      <c r="H18" s="2" t="s">
        <v>7</v>
      </c>
      <c r="I18" t="str">
        <f t="shared" si="0"/>
        <v>form-control</v>
      </c>
      <c r="J18" s="2" t="str">
        <f t="shared" si="1"/>
        <v>date</v>
      </c>
      <c r="K18" t="str">
        <f t="shared" si="2"/>
        <v/>
      </c>
      <c r="L18" t="str">
        <f t="shared" si="3"/>
        <v/>
      </c>
    </row>
    <row r="19" spans="1:12">
      <c r="A19" s="2">
        <v>18</v>
      </c>
      <c r="B19" t="s">
        <v>354</v>
      </c>
      <c r="C19" t="s">
        <v>89</v>
      </c>
      <c r="D19" s="2" t="s">
        <v>918</v>
      </c>
      <c r="F19" t="s">
        <v>90</v>
      </c>
      <c r="G19" s="2">
        <v>12</v>
      </c>
      <c r="H19" s="2" t="s">
        <v>368</v>
      </c>
      <c r="I19" t="str">
        <f t="shared" si="0"/>
        <v>form-control</v>
      </c>
      <c r="J19" s="2" t="str">
        <f t="shared" si="1"/>
        <v/>
      </c>
      <c r="K19" t="str">
        <f t="shared" si="2"/>
        <v/>
      </c>
      <c r="L19" t="str">
        <f t="shared" si="3"/>
        <v/>
      </c>
    </row>
    <row r="20" spans="1:12">
      <c r="A20" s="2">
        <v>19</v>
      </c>
      <c r="B20" t="s">
        <v>354</v>
      </c>
      <c r="C20" t="s">
        <v>91</v>
      </c>
      <c r="D20" s="2" t="s">
        <v>917</v>
      </c>
      <c r="F20" t="s">
        <v>92</v>
      </c>
      <c r="G20" s="2">
        <v>6</v>
      </c>
      <c r="H20" s="2" t="s">
        <v>20</v>
      </c>
      <c r="I20" t="str">
        <f t="shared" si="0"/>
        <v>form-control</v>
      </c>
      <c r="J20" s="2" t="str">
        <f t="shared" si="1"/>
        <v/>
      </c>
      <c r="K20" t="str">
        <f t="shared" si="2"/>
        <v>widgets/image_input.html</v>
      </c>
      <c r="L20" t="str">
        <f t="shared" si="3"/>
        <v/>
      </c>
    </row>
    <row r="21" spans="1:12">
      <c r="A21" s="2">
        <v>20</v>
      </c>
      <c r="B21" t="s">
        <v>354</v>
      </c>
      <c r="C21" t="s">
        <v>93</v>
      </c>
      <c r="D21" s="2" t="s">
        <v>911</v>
      </c>
      <c r="F21" t="s">
        <v>296</v>
      </c>
      <c r="G21" s="2">
        <v>6</v>
      </c>
      <c r="H21" s="2" t="s">
        <v>368</v>
      </c>
      <c r="I21" t="str">
        <f t="shared" si="0"/>
        <v>form-control</v>
      </c>
      <c r="J21" s="2" t="str">
        <f t="shared" si="1"/>
        <v/>
      </c>
      <c r="K21" t="str">
        <f t="shared" si="2"/>
        <v/>
      </c>
      <c r="L21" t="str">
        <f t="shared" si="3"/>
        <v/>
      </c>
    </row>
    <row r="22" spans="1:12">
      <c r="A22" s="2">
        <v>21</v>
      </c>
      <c r="B22" t="s">
        <v>355</v>
      </c>
      <c r="C22" t="s">
        <v>4</v>
      </c>
      <c r="D22" s="2" t="s">
        <v>917</v>
      </c>
      <c r="E22" t="s">
        <v>544</v>
      </c>
      <c r="F22" t="s">
        <v>5</v>
      </c>
      <c r="G22" s="2">
        <v>6</v>
      </c>
      <c r="H22" s="2" t="s">
        <v>368</v>
      </c>
      <c r="I22" t="str">
        <f t="shared" si="0"/>
        <v>form-control</v>
      </c>
      <c r="J22" s="2" t="str">
        <f t="shared" si="1"/>
        <v/>
      </c>
      <c r="K22" t="str">
        <f t="shared" si="2"/>
        <v/>
      </c>
      <c r="L22" t="str">
        <f t="shared" si="3"/>
        <v/>
      </c>
    </row>
    <row r="23" spans="1:12">
      <c r="A23" s="2">
        <v>22</v>
      </c>
      <c r="B23" t="s">
        <v>355</v>
      </c>
      <c r="C23" t="s">
        <v>6</v>
      </c>
      <c r="D23" s="2" t="s">
        <v>911</v>
      </c>
      <c r="F23" t="s">
        <v>293</v>
      </c>
      <c r="G23" s="2">
        <v>6</v>
      </c>
      <c r="H23" s="2" t="s">
        <v>368</v>
      </c>
      <c r="I23" t="str">
        <f t="shared" si="0"/>
        <v>form-control</v>
      </c>
      <c r="J23" s="2" t="str">
        <f t="shared" si="1"/>
        <v/>
      </c>
      <c r="K23" t="str">
        <f t="shared" si="2"/>
        <v/>
      </c>
      <c r="L23" t="str">
        <f t="shared" si="3"/>
        <v/>
      </c>
    </row>
    <row r="24" spans="1:12">
      <c r="A24" s="2">
        <v>23</v>
      </c>
      <c r="B24" t="s">
        <v>355</v>
      </c>
      <c r="C24" t="s">
        <v>8</v>
      </c>
      <c r="D24" s="2" t="s">
        <v>917</v>
      </c>
      <c r="F24" t="s">
        <v>9</v>
      </c>
      <c r="G24" s="2">
        <v>4</v>
      </c>
      <c r="H24" s="2" t="s">
        <v>368</v>
      </c>
      <c r="I24" t="str">
        <f t="shared" si="0"/>
        <v>form-control</v>
      </c>
      <c r="J24" s="2" t="str">
        <f t="shared" si="1"/>
        <v/>
      </c>
      <c r="K24" t="str">
        <f t="shared" si="2"/>
        <v/>
      </c>
      <c r="L24" t="str">
        <f t="shared" si="3"/>
        <v/>
      </c>
    </row>
    <row r="25" spans="1:12">
      <c r="A25" s="2">
        <v>24</v>
      </c>
      <c r="B25" t="s">
        <v>355</v>
      </c>
      <c r="C25" t="s">
        <v>10</v>
      </c>
      <c r="D25" s="2" t="s">
        <v>292</v>
      </c>
      <c r="F25" t="s">
        <v>11</v>
      </c>
      <c r="G25" s="2">
        <v>4</v>
      </c>
      <c r="H25" s="2" t="s">
        <v>368</v>
      </c>
      <c r="I25" t="str">
        <f t="shared" si="0"/>
        <v>form-control</v>
      </c>
      <c r="J25" s="2" t="str">
        <f t="shared" si="1"/>
        <v/>
      </c>
      <c r="K25" t="str">
        <f t="shared" si="2"/>
        <v/>
      </c>
      <c r="L25" t="str">
        <f t="shared" si="3"/>
        <v/>
      </c>
    </row>
    <row r="26" spans="1:12">
      <c r="A26" s="2">
        <v>25</v>
      </c>
      <c r="B26" t="s">
        <v>355</v>
      </c>
      <c r="C26" t="s">
        <v>12</v>
      </c>
      <c r="D26" s="2" t="s">
        <v>911</v>
      </c>
      <c r="F26" t="s">
        <v>13</v>
      </c>
      <c r="G26" s="2">
        <v>4</v>
      </c>
      <c r="H26" s="2" t="s">
        <v>368</v>
      </c>
      <c r="I26" t="str">
        <f t="shared" si="0"/>
        <v>form-control</v>
      </c>
      <c r="J26" s="2" t="str">
        <f t="shared" si="1"/>
        <v/>
      </c>
      <c r="K26" t="str">
        <f t="shared" si="2"/>
        <v/>
      </c>
      <c r="L26" t="str">
        <f t="shared" si="3"/>
        <v/>
      </c>
    </row>
    <row r="27" spans="1:12">
      <c r="A27" s="2">
        <v>26</v>
      </c>
      <c r="B27" t="s">
        <v>355</v>
      </c>
      <c r="C27" t="s">
        <v>14</v>
      </c>
      <c r="D27" s="2" t="s">
        <v>917</v>
      </c>
      <c r="F27" t="s">
        <v>15</v>
      </c>
      <c r="G27" s="2">
        <v>6</v>
      </c>
      <c r="H27" s="2" t="s">
        <v>16</v>
      </c>
      <c r="I27" t="str">
        <f t="shared" si="0"/>
        <v>form-control</v>
      </c>
      <c r="J27" s="2" t="str">
        <f t="shared" si="1"/>
        <v>tel</v>
      </c>
      <c r="K27" t="str">
        <f t="shared" si="2"/>
        <v>widgets/phone.html</v>
      </c>
      <c r="L27" t="str">
        <f t="shared" si="3"/>
        <v/>
      </c>
    </row>
    <row r="28" spans="1:12">
      <c r="A28" s="2">
        <v>27</v>
      </c>
      <c r="B28" t="s">
        <v>355</v>
      </c>
      <c r="C28" t="s">
        <v>31</v>
      </c>
      <c r="D28" s="2" t="s">
        <v>911</v>
      </c>
      <c r="F28" t="s">
        <v>298</v>
      </c>
      <c r="G28" s="2">
        <v>6</v>
      </c>
      <c r="H28" s="2" t="s">
        <v>7</v>
      </c>
      <c r="I28" t="str">
        <f t="shared" si="0"/>
        <v>form-control</v>
      </c>
      <c r="J28" s="2" t="str">
        <f t="shared" si="1"/>
        <v>date</v>
      </c>
      <c r="K28" t="str">
        <f t="shared" si="2"/>
        <v/>
      </c>
      <c r="L28" t="str">
        <f t="shared" si="3"/>
        <v/>
      </c>
    </row>
    <row r="29" spans="1:12">
      <c r="A29" s="2">
        <v>28</v>
      </c>
      <c r="B29" t="s">
        <v>355</v>
      </c>
      <c r="C29" t="s">
        <v>32</v>
      </c>
      <c r="D29" s="2" t="s">
        <v>917</v>
      </c>
      <c r="E29" t="s">
        <v>375</v>
      </c>
      <c r="F29" t="s">
        <v>299</v>
      </c>
      <c r="G29" s="2">
        <v>6</v>
      </c>
      <c r="H29" s="2" t="s">
        <v>368</v>
      </c>
      <c r="I29" t="str">
        <f t="shared" si="0"/>
        <v>form-control</v>
      </c>
      <c r="J29" s="2" t="str">
        <f t="shared" si="1"/>
        <v/>
      </c>
      <c r="K29" t="str">
        <f t="shared" si="2"/>
        <v/>
      </c>
      <c r="L29" t="str">
        <f t="shared" si="3"/>
        <v/>
      </c>
    </row>
    <row r="30" spans="1:12">
      <c r="A30" s="2">
        <v>29</v>
      </c>
      <c r="B30" t="s">
        <v>355</v>
      </c>
      <c r="C30" t="s">
        <v>33</v>
      </c>
      <c r="D30" s="2" t="s">
        <v>911</v>
      </c>
      <c r="F30" t="s">
        <v>300</v>
      </c>
      <c r="G30" s="2">
        <v>6</v>
      </c>
      <c r="H30" s="2" t="s">
        <v>368</v>
      </c>
      <c r="I30" t="str">
        <f t="shared" si="0"/>
        <v>form-control</v>
      </c>
      <c r="J30" s="2" t="str">
        <f t="shared" si="1"/>
        <v/>
      </c>
      <c r="K30" t="str">
        <f t="shared" si="2"/>
        <v/>
      </c>
      <c r="L30" t="str">
        <f t="shared" si="3"/>
        <v/>
      </c>
    </row>
    <row r="31" spans="1:12">
      <c r="A31" s="2">
        <v>30</v>
      </c>
      <c r="B31" t="s">
        <v>355</v>
      </c>
      <c r="C31" t="s">
        <v>34</v>
      </c>
      <c r="D31" s="2" t="s">
        <v>917</v>
      </c>
      <c r="F31" t="s">
        <v>15</v>
      </c>
      <c r="G31" s="2">
        <v>6</v>
      </c>
      <c r="H31" s="2" t="s">
        <v>16</v>
      </c>
      <c r="I31" t="str">
        <f t="shared" si="0"/>
        <v>form-control</v>
      </c>
      <c r="J31" s="2" t="str">
        <f t="shared" si="1"/>
        <v>tel</v>
      </c>
      <c r="K31" t="str">
        <f t="shared" si="2"/>
        <v>widgets/phone.html</v>
      </c>
      <c r="L31" t="str">
        <f t="shared" si="3"/>
        <v/>
      </c>
    </row>
    <row r="32" spans="1:12">
      <c r="A32" s="2">
        <v>31</v>
      </c>
      <c r="B32" t="s">
        <v>355</v>
      </c>
      <c r="C32" t="s">
        <v>35</v>
      </c>
      <c r="D32" s="2" t="s">
        <v>911</v>
      </c>
      <c r="F32" t="s">
        <v>36</v>
      </c>
      <c r="G32" s="2">
        <v>6</v>
      </c>
      <c r="H32" s="2" t="s">
        <v>368</v>
      </c>
      <c r="I32" t="str">
        <f t="shared" ref="I32:I65" si="4">IFERROR(VLOOKUP($H32,form_template,2,FALSE),"")</f>
        <v>form-control</v>
      </c>
      <c r="J32" s="2" t="str">
        <f t="shared" ref="J32:J65" si="5">IFERROR(VLOOKUP($H32,form_template,3,FALSE),"")</f>
        <v/>
      </c>
      <c r="K32" t="str">
        <f t="shared" ref="K32:K65" si="6">IFERROR(VLOOKUP($H32,form_template,4,FALSE),"")</f>
        <v/>
      </c>
      <c r="L32" t="str">
        <f t="shared" ref="L32:L65" si="7">IFERROR(VLOOKUP($H32,form_template,5,FALSE),"")</f>
        <v/>
      </c>
    </row>
    <row r="33" spans="1:12">
      <c r="A33" s="2">
        <v>32</v>
      </c>
      <c r="B33" t="s">
        <v>355</v>
      </c>
      <c r="C33" t="s">
        <v>37</v>
      </c>
      <c r="D33" s="2" t="s">
        <v>917</v>
      </c>
      <c r="E33" t="s">
        <v>376</v>
      </c>
      <c r="F33" t="s">
        <v>299</v>
      </c>
      <c r="G33" s="2">
        <v>6</v>
      </c>
      <c r="H33" s="2" t="s">
        <v>368</v>
      </c>
      <c r="I33" t="str">
        <f t="shared" si="4"/>
        <v>form-control</v>
      </c>
      <c r="J33" s="2" t="str">
        <f t="shared" si="5"/>
        <v/>
      </c>
      <c r="K33" t="str">
        <f t="shared" si="6"/>
        <v/>
      </c>
      <c r="L33" t="str">
        <f t="shared" si="7"/>
        <v/>
      </c>
    </row>
    <row r="34" spans="1:12">
      <c r="A34" s="2">
        <v>33</v>
      </c>
      <c r="B34" t="s">
        <v>355</v>
      </c>
      <c r="C34" t="s">
        <v>38</v>
      </c>
      <c r="D34" s="2" t="s">
        <v>911</v>
      </c>
      <c r="F34" t="s">
        <v>300</v>
      </c>
      <c r="G34" s="2">
        <v>6</v>
      </c>
      <c r="H34" s="2" t="s">
        <v>368</v>
      </c>
      <c r="I34" t="str">
        <f t="shared" si="4"/>
        <v>form-control</v>
      </c>
      <c r="J34" s="2" t="str">
        <f t="shared" si="5"/>
        <v/>
      </c>
      <c r="K34" t="str">
        <f t="shared" si="6"/>
        <v/>
      </c>
      <c r="L34" t="str">
        <f t="shared" si="7"/>
        <v/>
      </c>
    </row>
    <row r="35" spans="1:12">
      <c r="A35" s="2">
        <v>34</v>
      </c>
      <c r="B35" t="s">
        <v>355</v>
      </c>
      <c r="C35" t="s">
        <v>39</v>
      </c>
      <c r="D35" s="2" t="s">
        <v>917</v>
      </c>
      <c r="F35" t="s">
        <v>15</v>
      </c>
      <c r="G35" s="2">
        <v>6</v>
      </c>
      <c r="H35" s="2" t="s">
        <v>16</v>
      </c>
      <c r="I35" t="str">
        <f t="shared" si="4"/>
        <v>form-control</v>
      </c>
      <c r="J35" s="2" t="str">
        <f t="shared" si="5"/>
        <v>tel</v>
      </c>
      <c r="K35" t="str">
        <f t="shared" si="6"/>
        <v>widgets/phone.html</v>
      </c>
      <c r="L35" t="str">
        <f t="shared" si="7"/>
        <v/>
      </c>
    </row>
    <row r="36" spans="1:12">
      <c r="A36" s="2">
        <v>35</v>
      </c>
      <c r="B36" t="s">
        <v>355</v>
      </c>
      <c r="C36" t="s">
        <v>40</v>
      </c>
      <c r="D36" s="2" t="s">
        <v>911</v>
      </c>
      <c r="F36" t="s">
        <v>36</v>
      </c>
      <c r="G36" s="2">
        <v>6</v>
      </c>
      <c r="H36" s="2" t="s">
        <v>368</v>
      </c>
      <c r="I36" t="str">
        <f t="shared" si="4"/>
        <v>form-control</v>
      </c>
      <c r="J36" s="2" t="str">
        <f t="shared" si="5"/>
        <v/>
      </c>
      <c r="K36" t="str">
        <f t="shared" si="6"/>
        <v/>
      </c>
      <c r="L36" t="str">
        <f t="shared" si="7"/>
        <v/>
      </c>
    </row>
    <row r="37" spans="1:12">
      <c r="A37" s="2">
        <v>36</v>
      </c>
      <c r="B37" t="s">
        <v>355</v>
      </c>
      <c r="C37" t="s">
        <v>28</v>
      </c>
      <c r="D37" s="2" t="s">
        <v>917</v>
      </c>
      <c r="E37" t="s">
        <v>545</v>
      </c>
      <c r="F37" t="s">
        <v>29</v>
      </c>
      <c r="G37" s="2">
        <v>6</v>
      </c>
      <c r="H37" s="2" t="s">
        <v>368</v>
      </c>
      <c r="I37" t="str">
        <f>IFERROR(VLOOKUP($H37,form_template,2,FALSE),"")</f>
        <v>form-control</v>
      </c>
      <c r="J37" s="2" t="str">
        <f>IFERROR(VLOOKUP($H37,form_template,3,FALSE),"")</f>
        <v/>
      </c>
      <c r="K37" t="str">
        <f>IFERROR(VLOOKUP($H37,form_template,4,FALSE),"")</f>
        <v/>
      </c>
      <c r="L37" t="str">
        <f>IFERROR(VLOOKUP($H37,form_template,5,FALSE),"")</f>
        <v/>
      </c>
    </row>
    <row r="38" spans="1:12">
      <c r="A38" s="2">
        <v>37</v>
      </c>
      <c r="B38" t="s">
        <v>355</v>
      </c>
      <c r="C38" t="s">
        <v>30</v>
      </c>
      <c r="D38" s="2" t="s">
        <v>911</v>
      </c>
      <c r="F38" t="s">
        <v>297</v>
      </c>
      <c r="G38" s="2">
        <v>6</v>
      </c>
      <c r="H38" s="2" t="s">
        <v>368</v>
      </c>
      <c r="I38" t="str">
        <f>IFERROR(VLOOKUP($H38,form_template,2,FALSE),"")</f>
        <v>form-control</v>
      </c>
      <c r="J38" s="2" t="str">
        <f>IFERROR(VLOOKUP($H38,form_template,3,FALSE),"")</f>
        <v/>
      </c>
      <c r="K38" t="str">
        <f>IFERROR(VLOOKUP($H38,form_template,4,FALSE),"")</f>
        <v/>
      </c>
      <c r="L38" t="str">
        <f>IFERROR(VLOOKUP($H38,form_template,5,FALSE),"")</f>
        <v/>
      </c>
    </row>
    <row r="39" spans="1:12">
      <c r="A39" s="2">
        <v>38</v>
      </c>
      <c r="B39" t="s">
        <v>355</v>
      </c>
      <c r="C39" t="s">
        <v>41</v>
      </c>
      <c r="D39" s="2" t="s">
        <v>917</v>
      </c>
      <c r="F39" t="s">
        <v>301</v>
      </c>
      <c r="G39" s="2">
        <v>6</v>
      </c>
      <c r="H39" s="2" t="s">
        <v>7</v>
      </c>
      <c r="I39" t="str">
        <f t="shared" si="4"/>
        <v>form-control</v>
      </c>
      <c r="J39" s="2" t="str">
        <f t="shared" si="5"/>
        <v>date</v>
      </c>
      <c r="K39" t="str">
        <f t="shared" si="6"/>
        <v/>
      </c>
      <c r="L39" t="str">
        <f t="shared" si="7"/>
        <v/>
      </c>
    </row>
    <row r="40" spans="1:12">
      <c r="A40" s="2">
        <v>39</v>
      </c>
      <c r="B40" t="s">
        <v>355</v>
      </c>
      <c r="C40" t="s">
        <v>42</v>
      </c>
      <c r="D40" s="2" t="s">
        <v>911</v>
      </c>
      <c r="F40" t="s">
        <v>302</v>
      </c>
      <c r="G40" s="2">
        <v>6</v>
      </c>
      <c r="H40" s="2" t="s">
        <v>7</v>
      </c>
      <c r="I40" t="str">
        <f t="shared" si="4"/>
        <v>form-control</v>
      </c>
      <c r="J40" s="2" t="str">
        <f t="shared" si="5"/>
        <v>date</v>
      </c>
      <c r="K40" t="str">
        <f t="shared" si="6"/>
        <v/>
      </c>
      <c r="L40" t="str">
        <f t="shared" si="7"/>
        <v/>
      </c>
    </row>
    <row r="41" spans="1:12">
      <c r="A41" s="2">
        <v>40</v>
      </c>
      <c r="B41" t="s">
        <v>355</v>
      </c>
      <c r="C41" t="s">
        <v>43</v>
      </c>
      <c r="D41" s="2" t="s">
        <v>918</v>
      </c>
      <c r="F41" t="s">
        <v>303</v>
      </c>
      <c r="G41" s="2">
        <v>12</v>
      </c>
      <c r="H41" s="2" t="s">
        <v>368</v>
      </c>
      <c r="I41" t="str">
        <f t="shared" si="4"/>
        <v>form-control</v>
      </c>
      <c r="J41" s="2" t="str">
        <f t="shared" si="5"/>
        <v/>
      </c>
      <c r="K41" t="str">
        <f t="shared" si="6"/>
        <v/>
      </c>
      <c r="L41" t="str">
        <f t="shared" si="7"/>
        <v/>
      </c>
    </row>
    <row r="42" spans="1:12">
      <c r="A42" s="2">
        <v>41</v>
      </c>
      <c r="B42" t="s">
        <v>355</v>
      </c>
      <c r="C42" t="s">
        <v>21</v>
      </c>
      <c r="D42" s="2" t="s">
        <v>918</v>
      </c>
      <c r="F42" t="s">
        <v>22</v>
      </c>
      <c r="G42" s="2">
        <v>12</v>
      </c>
      <c r="H42" s="2" t="s">
        <v>20</v>
      </c>
      <c r="I42" t="str">
        <f t="shared" si="4"/>
        <v>form-control</v>
      </c>
      <c r="J42" s="2" t="str">
        <f t="shared" si="5"/>
        <v/>
      </c>
      <c r="K42" t="str">
        <f t="shared" si="6"/>
        <v>widgets/image_input.html</v>
      </c>
      <c r="L42" t="str">
        <f t="shared" si="7"/>
        <v/>
      </c>
    </row>
    <row r="43" spans="1:12">
      <c r="A43" s="2">
        <v>42</v>
      </c>
      <c r="B43" t="s">
        <v>356</v>
      </c>
      <c r="C43" t="s">
        <v>45</v>
      </c>
      <c r="D43" s="2" t="s">
        <v>917</v>
      </c>
      <c r="F43" t="s">
        <v>46</v>
      </c>
      <c r="G43" s="2">
        <v>6</v>
      </c>
      <c r="H43" s="2" t="s">
        <v>368</v>
      </c>
      <c r="I43" t="str">
        <f t="shared" si="4"/>
        <v>form-control</v>
      </c>
      <c r="J43" s="2" t="str">
        <f t="shared" si="5"/>
        <v/>
      </c>
      <c r="K43" t="str">
        <f t="shared" si="6"/>
        <v/>
      </c>
      <c r="L43" t="str">
        <f t="shared" si="7"/>
        <v/>
      </c>
    </row>
    <row r="44" spans="1:12">
      <c r="A44" s="2">
        <v>43</v>
      </c>
      <c r="B44" t="s">
        <v>356</v>
      </c>
      <c r="C44" t="s">
        <v>47</v>
      </c>
      <c r="D44" s="2" t="s">
        <v>911</v>
      </c>
      <c r="F44" t="s">
        <v>48</v>
      </c>
      <c r="G44" s="2">
        <v>6</v>
      </c>
      <c r="H44" s="2" t="s">
        <v>368</v>
      </c>
      <c r="I44" t="str">
        <f t="shared" si="4"/>
        <v>form-control</v>
      </c>
      <c r="J44" s="2" t="str">
        <f t="shared" si="5"/>
        <v/>
      </c>
      <c r="K44" t="str">
        <f t="shared" si="6"/>
        <v/>
      </c>
      <c r="L44" t="str">
        <f t="shared" si="7"/>
        <v/>
      </c>
    </row>
    <row r="45" spans="1:12">
      <c r="A45" s="2">
        <v>44</v>
      </c>
      <c r="B45" t="s">
        <v>356</v>
      </c>
      <c r="C45" t="s">
        <v>49</v>
      </c>
      <c r="D45" s="2" t="s">
        <v>918</v>
      </c>
      <c r="F45" t="s">
        <v>50</v>
      </c>
      <c r="G45" s="2">
        <v>12</v>
      </c>
      <c r="H45" s="2" t="s">
        <v>368</v>
      </c>
      <c r="I45" t="str">
        <f t="shared" si="4"/>
        <v>form-control</v>
      </c>
      <c r="J45" s="2" t="str">
        <f t="shared" si="5"/>
        <v/>
      </c>
      <c r="K45" t="str">
        <f t="shared" si="6"/>
        <v/>
      </c>
      <c r="L45" t="str">
        <f t="shared" si="7"/>
        <v/>
      </c>
    </row>
    <row r="46" spans="1:12">
      <c r="A46" s="2">
        <v>45</v>
      </c>
      <c r="B46" t="s">
        <v>356</v>
      </c>
      <c r="C46" t="s">
        <v>51</v>
      </c>
      <c r="D46" s="2" t="s">
        <v>917</v>
      </c>
      <c r="F46" t="s">
        <v>15</v>
      </c>
      <c r="G46" s="2">
        <v>6</v>
      </c>
      <c r="H46" s="2" t="s">
        <v>16</v>
      </c>
      <c r="I46" t="str">
        <f t="shared" si="4"/>
        <v>form-control</v>
      </c>
      <c r="J46" s="2" t="str">
        <f t="shared" si="5"/>
        <v>tel</v>
      </c>
      <c r="K46" t="str">
        <f t="shared" si="6"/>
        <v>widgets/phone.html</v>
      </c>
      <c r="L46" t="str">
        <f t="shared" si="7"/>
        <v/>
      </c>
    </row>
    <row r="47" spans="1:12">
      <c r="A47" s="2">
        <v>46</v>
      </c>
      <c r="B47" t="s">
        <v>356</v>
      </c>
      <c r="C47" t="s">
        <v>52</v>
      </c>
      <c r="D47" s="2" t="s">
        <v>911</v>
      </c>
      <c r="F47" t="s">
        <v>53</v>
      </c>
      <c r="G47" s="2">
        <v>6</v>
      </c>
      <c r="H47" s="2" t="s">
        <v>368</v>
      </c>
      <c r="I47" t="str">
        <f t="shared" si="4"/>
        <v>form-control</v>
      </c>
      <c r="J47" s="2" t="str">
        <f t="shared" si="5"/>
        <v/>
      </c>
      <c r="K47" t="str">
        <f t="shared" si="6"/>
        <v/>
      </c>
      <c r="L47" t="str">
        <f t="shared" si="7"/>
        <v/>
      </c>
    </row>
    <row r="48" spans="1:12">
      <c r="A48" s="2">
        <v>47</v>
      </c>
      <c r="B48" t="s">
        <v>357</v>
      </c>
      <c r="C48" t="s">
        <v>263</v>
      </c>
      <c r="D48" s="2" t="s">
        <v>917</v>
      </c>
      <c r="F48" t="s">
        <v>99</v>
      </c>
      <c r="G48" s="2">
        <v>6</v>
      </c>
      <c r="H48" s="2" t="s">
        <v>368</v>
      </c>
      <c r="I48" t="str">
        <f t="shared" si="4"/>
        <v>form-control</v>
      </c>
      <c r="J48" s="2" t="str">
        <f t="shared" si="5"/>
        <v/>
      </c>
      <c r="K48" t="str">
        <f t="shared" si="6"/>
        <v/>
      </c>
      <c r="L48" t="str">
        <f t="shared" si="7"/>
        <v/>
      </c>
    </row>
    <row r="49" spans="1:12">
      <c r="A49" s="2">
        <v>48</v>
      </c>
      <c r="B49" t="s">
        <v>357</v>
      </c>
      <c r="C49" t="s">
        <v>319</v>
      </c>
      <c r="D49" s="2" t="s">
        <v>911</v>
      </c>
      <c r="F49" t="s">
        <v>291</v>
      </c>
      <c r="G49" s="2">
        <v>6</v>
      </c>
      <c r="H49" s="2" t="s">
        <v>368</v>
      </c>
      <c r="I49" t="str">
        <f t="shared" si="4"/>
        <v>form-control</v>
      </c>
      <c r="J49" s="2" t="str">
        <f t="shared" si="5"/>
        <v/>
      </c>
      <c r="K49" t="str">
        <f t="shared" si="6"/>
        <v/>
      </c>
      <c r="L49" t="str">
        <f t="shared" si="7"/>
        <v/>
      </c>
    </row>
    <row r="50" spans="1:12">
      <c r="A50" s="2">
        <v>49</v>
      </c>
      <c r="B50" s="51" t="s">
        <v>358</v>
      </c>
      <c r="C50" s="51" t="s">
        <v>55</v>
      </c>
      <c r="D50" s="53" t="s">
        <v>917</v>
      </c>
      <c r="E50" s="51" t="s">
        <v>374</v>
      </c>
      <c r="F50" s="51" t="s">
        <v>304</v>
      </c>
      <c r="G50" s="53">
        <v>6</v>
      </c>
      <c r="H50" s="53" t="s">
        <v>368</v>
      </c>
      <c r="I50" s="51" t="str">
        <f t="shared" si="4"/>
        <v>form-control</v>
      </c>
      <c r="J50" s="53" t="str">
        <f t="shared" si="5"/>
        <v/>
      </c>
      <c r="K50" s="51" t="str">
        <f t="shared" si="6"/>
        <v/>
      </c>
      <c r="L50" t="str">
        <f t="shared" si="7"/>
        <v/>
      </c>
    </row>
    <row r="51" spans="1:12">
      <c r="A51" s="2">
        <v>50</v>
      </c>
      <c r="B51" s="51" t="s">
        <v>358</v>
      </c>
      <c r="C51" s="51" t="s">
        <v>56</v>
      </c>
      <c r="D51" s="53" t="s">
        <v>911</v>
      </c>
      <c r="E51" s="51"/>
      <c r="F51" s="51" t="s">
        <v>305</v>
      </c>
      <c r="G51" s="53">
        <v>6</v>
      </c>
      <c r="H51" s="53" t="s">
        <v>7</v>
      </c>
      <c r="I51" s="51" t="str">
        <f t="shared" si="4"/>
        <v>form-control</v>
      </c>
      <c r="J51" s="53" t="str">
        <f t="shared" si="5"/>
        <v>date</v>
      </c>
      <c r="K51" s="51" t="str">
        <f t="shared" si="6"/>
        <v/>
      </c>
      <c r="L51" t="str">
        <f t="shared" si="7"/>
        <v/>
      </c>
    </row>
    <row r="52" spans="1:12">
      <c r="A52" s="2">
        <v>51</v>
      </c>
      <c r="B52" s="51" t="s">
        <v>358</v>
      </c>
      <c r="C52" s="51" t="s">
        <v>57</v>
      </c>
      <c r="D52" s="53" t="s">
        <v>917</v>
      </c>
      <c r="E52" s="51"/>
      <c r="F52" s="51" t="s">
        <v>44</v>
      </c>
      <c r="G52" s="53">
        <v>6</v>
      </c>
      <c r="H52" s="53" t="s">
        <v>368</v>
      </c>
      <c r="I52" s="51" t="str">
        <f t="shared" si="4"/>
        <v>form-control</v>
      </c>
      <c r="J52" s="53" t="str">
        <f t="shared" si="5"/>
        <v/>
      </c>
      <c r="K52" s="51" t="str">
        <f t="shared" si="6"/>
        <v/>
      </c>
      <c r="L52" t="str">
        <f t="shared" si="7"/>
        <v/>
      </c>
    </row>
    <row r="53" spans="1:12">
      <c r="A53" s="2">
        <v>52</v>
      </c>
      <c r="B53" s="51" t="s">
        <v>358</v>
      </c>
      <c r="C53" s="51" t="s">
        <v>58</v>
      </c>
      <c r="D53" s="53" t="s">
        <v>911</v>
      </c>
      <c r="E53" s="51"/>
      <c r="F53" s="51" t="s">
        <v>59</v>
      </c>
      <c r="G53" s="53">
        <v>6</v>
      </c>
      <c r="H53" s="53" t="s">
        <v>368</v>
      </c>
      <c r="I53" s="51" t="str">
        <f t="shared" si="4"/>
        <v>form-control</v>
      </c>
      <c r="J53" s="53" t="str">
        <f t="shared" si="5"/>
        <v/>
      </c>
      <c r="K53" s="51" t="str">
        <f t="shared" si="6"/>
        <v/>
      </c>
      <c r="L53" t="str">
        <f t="shared" si="7"/>
        <v/>
      </c>
    </row>
    <row r="54" spans="1:12">
      <c r="A54" s="2">
        <v>53</v>
      </c>
      <c r="B54" s="51" t="s">
        <v>358</v>
      </c>
      <c r="C54" s="51" t="s">
        <v>60</v>
      </c>
      <c r="D54" s="53" t="s">
        <v>917</v>
      </c>
      <c r="E54" s="51"/>
      <c r="F54" s="51" t="s">
        <v>306</v>
      </c>
      <c r="G54" s="53">
        <v>6</v>
      </c>
      <c r="H54" s="53" t="s">
        <v>368</v>
      </c>
      <c r="I54" s="51" t="str">
        <f t="shared" si="4"/>
        <v>form-control</v>
      </c>
      <c r="J54" s="53" t="str">
        <f t="shared" si="5"/>
        <v/>
      </c>
      <c r="K54" s="51" t="str">
        <f t="shared" si="6"/>
        <v/>
      </c>
      <c r="L54" t="str">
        <f t="shared" si="7"/>
        <v/>
      </c>
    </row>
    <row r="55" spans="1:12">
      <c r="A55" s="2">
        <v>54</v>
      </c>
      <c r="B55" s="51" t="s">
        <v>358</v>
      </c>
      <c r="C55" s="51" t="s">
        <v>62</v>
      </c>
      <c r="D55" s="53" t="s">
        <v>911</v>
      </c>
      <c r="E55" s="51"/>
      <c r="F55" s="51" t="s">
        <v>307</v>
      </c>
      <c r="G55" s="53">
        <v>6</v>
      </c>
      <c r="H55" s="53" t="s">
        <v>368</v>
      </c>
      <c r="I55" s="51" t="str">
        <f t="shared" si="4"/>
        <v>form-control</v>
      </c>
      <c r="J55" s="53" t="str">
        <f t="shared" si="5"/>
        <v/>
      </c>
      <c r="K55" s="51" t="str">
        <f t="shared" si="6"/>
        <v/>
      </c>
      <c r="L55" t="str">
        <f t="shared" si="7"/>
        <v/>
      </c>
    </row>
    <row r="56" spans="1:12">
      <c r="A56" s="2">
        <v>55</v>
      </c>
      <c r="B56" s="51" t="s">
        <v>358</v>
      </c>
      <c r="C56" s="51" t="s">
        <v>64</v>
      </c>
      <c r="D56" s="53" t="s">
        <v>917</v>
      </c>
      <c r="E56" s="51"/>
      <c r="F56" s="51" t="s">
        <v>308</v>
      </c>
      <c r="G56" s="53">
        <v>6</v>
      </c>
      <c r="H56" s="53" t="s">
        <v>368</v>
      </c>
      <c r="I56" s="51" t="str">
        <f t="shared" si="4"/>
        <v>form-control</v>
      </c>
      <c r="J56" s="53" t="str">
        <f t="shared" si="5"/>
        <v/>
      </c>
      <c r="K56" s="51" t="str">
        <f t="shared" si="6"/>
        <v/>
      </c>
      <c r="L56" t="str">
        <f t="shared" si="7"/>
        <v/>
      </c>
    </row>
    <row r="57" spans="1:12">
      <c r="A57" s="2">
        <v>56</v>
      </c>
      <c r="B57" s="51" t="s">
        <v>358</v>
      </c>
      <c r="C57" s="51" t="s">
        <v>65</v>
      </c>
      <c r="D57" s="53" t="s">
        <v>911</v>
      </c>
      <c r="E57" s="51"/>
      <c r="F57" s="51" t="s">
        <v>309</v>
      </c>
      <c r="G57" s="53">
        <v>6</v>
      </c>
      <c r="H57" s="53" t="s">
        <v>368</v>
      </c>
      <c r="I57" s="51" t="str">
        <f t="shared" si="4"/>
        <v>form-control</v>
      </c>
      <c r="J57" s="53" t="str">
        <f t="shared" si="5"/>
        <v/>
      </c>
      <c r="K57" s="51" t="str">
        <f t="shared" si="6"/>
        <v/>
      </c>
      <c r="L57" t="str">
        <f t="shared" si="7"/>
        <v/>
      </c>
    </row>
    <row r="58" spans="1:12">
      <c r="A58" s="2">
        <v>57</v>
      </c>
      <c r="B58" s="51" t="s">
        <v>358</v>
      </c>
      <c r="C58" s="51" t="s">
        <v>66</v>
      </c>
      <c r="D58" s="53" t="s">
        <v>917</v>
      </c>
      <c r="E58" s="51" t="s">
        <v>377</v>
      </c>
      <c r="F58" s="51" t="s">
        <v>310</v>
      </c>
      <c r="G58" s="53">
        <v>4</v>
      </c>
      <c r="H58" s="53" t="s">
        <v>7</v>
      </c>
      <c r="I58" s="51" t="str">
        <f t="shared" si="4"/>
        <v>form-control</v>
      </c>
      <c r="J58" s="53" t="str">
        <f t="shared" si="5"/>
        <v>date</v>
      </c>
      <c r="K58" s="51" t="str">
        <f t="shared" si="6"/>
        <v/>
      </c>
      <c r="L58" t="str">
        <f t="shared" si="7"/>
        <v/>
      </c>
    </row>
    <row r="59" spans="1:12">
      <c r="A59" s="2">
        <v>58</v>
      </c>
      <c r="B59" s="51" t="s">
        <v>358</v>
      </c>
      <c r="C59" s="51" t="s">
        <v>67</v>
      </c>
      <c r="D59" s="53"/>
      <c r="E59" s="51"/>
      <c r="F59" s="51" t="s">
        <v>311</v>
      </c>
      <c r="G59" s="53">
        <v>4</v>
      </c>
      <c r="H59" s="53" t="s">
        <v>368</v>
      </c>
      <c r="I59" s="51" t="str">
        <f t="shared" si="4"/>
        <v>form-control</v>
      </c>
      <c r="J59" s="53" t="str">
        <f t="shared" si="5"/>
        <v/>
      </c>
      <c r="K59" s="51" t="str">
        <f t="shared" si="6"/>
        <v/>
      </c>
      <c r="L59" t="str">
        <f t="shared" si="7"/>
        <v/>
      </c>
    </row>
    <row r="60" spans="1:12">
      <c r="A60" s="2">
        <v>59</v>
      </c>
      <c r="B60" s="51" t="s">
        <v>358</v>
      </c>
      <c r="C60" s="51" t="s">
        <v>68</v>
      </c>
      <c r="D60" s="53" t="s">
        <v>911</v>
      </c>
      <c r="E60" s="51"/>
      <c r="F60" s="51" t="s">
        <v>312</v>
      </c>
      <c r="G60" s="53">
        <v>4</v>
      </c>
      <c r="H60" s="53" t="s">
        <v>368</v>
      </c>
      <c r="I60" s="51" t="str">
        <f t="shared" si="4"/>
        <v>form-control</v>
      </c>
      <c r="J60" s="53" t="str">
        <f t="shared" si="5"/>
        <v/>
      </c>
      <c r="K60" s="51" t="str">
        <f t="shared" si="6"/>
        <v/>
      </c>
      <c r="L60" t="str">
        <f t="shared" si="7"/>
        <v/>
      </c>
    </row>
    <row r="61" spans="1:12">
      <c r="A61" s="2">
        <v>60</v>
      </c>
      <c r="B61" s="51" t="s">
        <v>358</v>
      </c>
      <c r="C61" s="51" t="s">
        <v>69</v>
      </c>
      <c r="D61" s="53" t="s">
        <v>917</v>
      </c>
      <c r="E61" s="51"/>
      <c r="F61" s="51" t="s">
        <v>953</v>
      </c>
      <c r="G61" s="53">
        <v>6</v>
      </c>
      <c r="H61" s="53" t="s">
        <v>20</v>
      </c>
      <c r="I61" s="51" t="str">
        <f t="shared" si="4"/>
        <v>form-control</v>
      </c>
      <c r="J61" s="53" t="str">
        <f t="shared" si="5"/>
        <v/>
      </c>
      <c r="K61" s="51" t="str">
        <f t="shared" si="6"/>
        <v>widgets/image_input.html</v>
      </c>
      <c r="L61" t="str">
        <f t="shared" si="7"/>
        <v/>
      </c>
    </row>
    <row r="62" spans="1:12">
      <c r="A62" s="2">
        <v>61</v>
      </c>
      <c r="B62" s="51" t="s">
        <v>358</v>
      </c>
      <c r="C62" s="51" t="s">
        <v>71</v>
      </c>
      <c r="D62" s="53" t="s">
        <v>911</v>
      </c>
      <c r="E62" s="51"/>
      <c r="F62" s="51" t="s">
        <v>313</v>
      </c>
      <c r="G62" s="53">
        <v>6</v>
      </c>
      <c r="H62" s="53" t="s">
        <v>551</v>
      </c>
      <c r="I62" s="51" t="str">
        <f t="shared" si="4"/>
        <v>form-control</v>
      </c>
      <c r="J62" s="53">
        <f t="shared" si="5"/>
        <v>0</v>
      </c>
      <c r="K62" s="51" t="str">
        <f t="shared" si="6"/>
        <v>widgets/file_input.html</v>
      </c>
      <c r="L62" t="str">
        <f t="shared" si="7"/>
        <v/>
      </c>
    </row>
    <row r="63" spans="1:12">
      <c r="A63" s="2">
        <v>62</v>
      </c>
      <c r="B63" t="s">
        <v>359</v>
      </c>
      <c r="C63" t="s">
        <v>98</v>
      </c>
      <c r="D63" s="2" t="s">
        <v>917</v>
      </c>
      <c r="F63" t="s">
        <v>94</v>
      </c>
      <c r="G63" s="2">
        <v>6</v>
      </c>
      <c r="H63" s="2" t="s">
        <v>368</v>
      </c>
      <c r="I63" t="str">
        <f t="shared" si="4"/>
        <v>form-control</v>
      </c>
      <c r="J63" s="2" t="str">
        <f t="shared" si="5"/>
        <v/>
      </c>
      <c r="K63" t="str">
        <f t="shared" si="6"/>
        <v/>
      </c>
      <c r="L63" t="str">
        <f t="shared" si="7"/>
        <v/>
      </c>
    </row>
    <row r="64" spans="1:12">
      <c r="A64" s="2">
        <v>63</v>
      </c>
      <c r="B64" t="s">
        <v>359</v>
      </c>
      <c r="C64" t="s">
        <v>45</v>
      </c>
      <c r="D64" s="2" t="s">
        <v>911</v>
      </c>
      <c r="F64" t="s">
        <v>46</v>
      </c>
      <c r="G64" s="2">
        <v>6</v>
      </c>
      <c r="H64" s="2" t="s">
        <v>368</v>
      </c>
      <c r="I64" t="str">
        <f t="shared" si="4"/>
        <v>form-control</v>
      </c>
      <c r="J64" s="2" t="str">
        <f t="shared" si="5"/>
        <v/>
      </c>
      <c r="K64" t="str">
        <f t="shared" si="6"/>
        <v/>
      </c>
      <c r="L64" t="str">
        <f t="shared" si="7"/>
        <v/>
      </c>
    </row>
    <row r="65" spans="1:12">
      <c r="A65" s="2">
        <v>64</v>
      </c>
      <c r="B65" t="s">
        <v>360</v>
      </c>
      <c r="C65" t="s">
        <v>95</v>
      </c>
      <c r="D65" s="2" t="s">
        <v>917</v>
      </c>
      <c r="F65" t="s">
        <v>75</v>
      </c>
      <c r="G65" s="2">
        <v>6</v>
      </c>
      <c r="H65" s="2" t="s">
        <v>368</v>
      </c>
      <c r="I65" t="str">
        <f t="shared" si="4"/>
        <v>form-control</v>
      </c>
      <c r="J65" s="2" t="str">
        <f t="shared" si="5"/>
        <v/>
      </c>
      <c r="K65" t="str">
        <f t="shared" si="6"/>
        <v/>
      </c>
      <c r="L65" t="str">
        <f t="shared" si="7"/>
        <v/>
      </c>
    </row>
    <row r="66" spans="1:12">
      <c r="A66" s="2">
        <v>65</v>
      </c>
      <c r="B66" t="s">
        <v>360</v>
      </c>
      <c r="C66" t="s">
        <v>45</v>
      </c>
      <c r="D66" s="2" t="s">
        <v>911</v>
      </c>
      <c r="F66" t="s">
        <v>46</v>
      </c>
      <c r="G66" s="2">
        <v>6</v>
      </c>
      <c r="H66" s="2" t="s">
        <v>368</v>
      </c>
      <c r="I66" t="str">
        <f>IFERROR(VLOOKUP($H66,form_template,2,FALSE),"")</f>
        <v>form-control</v>
      </c>
      <c r="J66" s="2" t="str">
        <f>IFERROR(VLOOKUP($H66,form_template,3,FALSE),"")</f>
        <v/>
      </c>
      <c r="K66" t="str">
        <f>IFERROR(VLOOKUP($H66,form_template,4,FALSE),"")</f>
        <v/>
      </c>
      <c r="L66" t="str">
        <f t="shared" ref="L66:L82" si="8">IFERROR(VLOOKUP($H66,form_template,5,FALSE),"")</f>
        <v/>
      </c>
    </row>
    <row r="67" spans="1:12">
      <c r="A67" s="2">
        <v>66</v>
      </c>
      <c r="B67" t="s">
        <v>360</v>
      </c>
      <c r="C67" t="s">
        <v>47</v>
      </c>
      <c r="D67" s="2" t="s">
        <v>918</v>
      </c>
      <c r="F67" t="s">
        <v>48</v>
      </c>
      <c r="G67" s="2">
        <v>12</v>
      </c>
      <c r="H67" s="2" t="s">
        <v>368</v>
      </c>
      <c r="I67" t="str">
        <f>IFERROR(VLOOKUP($H67,form_template,2,FALSE),"")</f>
        <v>form-control</v>
      </c>
      <c r="J67" s="2" t="str">
        <f>IFERROR(VLOOKUP($H67,form_template,3,FALSE),"")</f>
        <v/>
      </c>
      <c r="K67" t="str">
        <f>IFERROR(VLOOKUP($H67,form_template,4,FALSE),"")</f>
        <v/>
      </c>
      <c r="L67" t="str">
        <f t="shared" si="8"/>
        <v/>
      </c>
    </row>
    <row r="68" spans="1:12">
      <c r="A68" s="2">
        <v>67</v>
      </c>
      <c r="B68" t="s">
        <v>361</v>
      </c>
      <c r="C68" t="s">
        <v>17</v>
      </c>
      <c r="D68" s="2" t="s">
        <v>917</v>
      </c>
      <c r="F68" t="s">
        <v>294</v>
      </c>
      <c r="G68" s="2">
        <v>3</v>
      </c>
      <c r="H68" s="2" t="s">
        <v>7</v>
      </c>
      <c r="I68" t="str">
        <f>IFERROR(VLOOKUP($H68,form_template,2,FALSE),"")</f>
        <v>form-control</v>
      </c>
      <c r="J68" s="2" t="str">
        <f>IFERROR(VLOOKUP($H68,form_template,3,FALSE),"")</f>
        <v>date</v>
      </c>
      <c r="K68" t="str">
        <f>IFERROR(VLOOKUP($H68,form_template,4,FALSE),"")</f>
        <v/>
      </c>
      <c r="L68" t="str">
        <f t="shared" si="8"/>
        <v/>
      </c>
    </row>
    <row r="69" spans="1:12">
      <c r="A69" s="2">
        <v>68</v>
      </c>
      <c r="B69" t="s">
        <v>361</v>
      </c>
      <c r="C69" t="s">
        <v>18</v>
      </c>
      <c r="D69" s="2" t="s">
        <v>911</v>
      </c>
      <c r="F69" t="s">
        <v>19</v>
      </c>
      <c r="G69" s="2">
        <v>9</v>
      </c>
      <c r="H69" s="2" t="s">
        <v>20</v>
      </c>
      <c r="I69" t="str">
        <f>IFERROR(VLOOKUP($H69,form_template,2,FALSE),"")</f>
        <v>form-control</v>
      </c>
      <c r="J69" s="2" t="str">
        <f>IFERROR(VLOOKUP($H69,form_template,3,FALSE),"")</f>
        <v/>
      </c>
      <c r="K69" t="str">
        <f>IFERROR(VLOOKUP($H69,form_template,4,FALSE),"")</f>
        <v>widgets/image_input.html</v>
      </c>
      <c r="L69" t="str">
        <f t="shared" si="8"/>
        <v/>
      </c>
    </row>
    <row r="70" spans="1:12">
      <c r="A70" s="2">
        <v>69</v>
      </c>
      <c r="B70" t="s">
        <v>361</v>
      </c>
      <c r="C70" t="s">
        <v>74</v>
      </c>
      <c r="D70" s="2" t="s">
        <v>918</v>
      </c>
      <c r="F70" t="s">
        <v>314</v>
      </c>
      <c r="G70" s="2">
        <v>12</v>
      </c>
      <c r="H70" s="2" t="s">
        <v>368</v>
      </c>
      <c r="I70" t="str">
        <f>IFERROR(VLOOKUP($H70,form_template,2,FALSE),"")</f>
        <v>form-control</v>
      </c>
      <c r="J70" s="2" t="str">
        <f>IFERROR(VLOOKUP($H70,form_template,3,FALSE),"")</f>
        <v/>
      </c>
      <c r="K70" t="str">
        <f>IFERROR(VLOOKUP($H70,form_template,4,FALSE),"")</f>
        <v/>
      </c>
      <c r="L70" t="str">
        <f>IFERROR(VLOOKUP($H70,form_template,5,FALSE),"")</f>
        <v/>
      </c>
    </row>
    <row r="71" spans="1:12">
      <c r="A71" s="2">
        <v>70</v>
      </c>
      <c r="B71" t="s">
        <v>362</v>
      </c>
      <c r="C71" t="s">
        <v>45</v>
      </c>
      <c r="D71" s="2" t="s">
        <v>917</v>
      </c>
      <c r="F71" t="s">
        <v>46</v>
      </c>
      <c r="G71" s="2">
        <v>6</v>
      </c>
      <c r="H71" s="2" t="s">
        <v>368</v>
      </c>
      <c r="I71" t="str">
        <f>IFERROR(VLOOKUP($H71,form_template,2,FALSE),"")</f>
        <v>form-control</v>
      </c>
      <c r="J71" s="2" t="str">
        <f>IFERROR(VLOOKUP($H71,form_template,3,FALSE),"")</f>
        <v/>
      </c>
      <c r="K71" t="str">
        <f>IFERROR(VLOOKUP($H71,form_template,4,FALSE),"")</f>
        <v/>
      </c>
      <c r="L71" t="str">
        <f t="shared" si="8"/>
        <v/>
      </c>
    </row>
    <row r="72" spans="1:12">
      <c r="A72" s="2">
        <v>71</v>
      </c>
      <c r="B72" t="s">
        <v>362</v>
      </c>
      <c r="C72" t="s">
        <v>76</v>
      </c>
      <c r="D72" s="2" t="s">
        <v>911</v>
      </c>
      <c r="F72" t="s">
        <v>315</v>
      </c>
      <c r="G72" s="2">
        <v>6</v>
      </c>
      <c r="H72" s="2" t="s">
        <v>368</v>
      </c>
      <c r="I72" t="str">
        <f>IFERROR(VLOOKUP($H72,form_template,2,FALSE),"")</f>
        <v>form-control</v>
      </c>
      <c r="J72" s="2" t="str">
        <f>IFERROR(VLOOKUP($H72,form_template,3,FALSE),"")</f>
        <v/>
      </c>
      <c r="K72" t="str">
        <f>IFERROR(VLOOKUP($H72,form_template,4,FALSE),"")</f>
        <v/>
      </c>
      <c r="L72" t="str">
        <f t="shared" si="8"/>
        <v/>
      </c>
    </row>
    <row r="73" spans="1:12">
      <c r="A73" s="2">
        <v>72</v>
      </c>
      <c r="B73" t="s">
        <v>362</v>
      </c>
      <c r="C73" t="s">
        <v>4</v>
      </c>
      <c r="D73" s="2" t="s">
        <v>917</v>
      </c>
      <c r="E73" t="s">
        <v>77</v>
      </c>
      <c r="F73" t="s">
        <v>5</v>
      </c>
      <c r="G73" s="2">
        <v>6</v>
      </c>
      <c r="H73" s="2" t="s">
        <v>368</v>
      </c>
      <c r="I73" t="str">
        <f>IFERROR(VLOOKUP($H73,form_template,2,FALSE),"")</f>
        <v>form-control</v>
      </c>
      <c r="J73" s="2" t="str">
        <f>IFERROR(VLOOKUP($H73,form_template,3,FALSE),"")</f>
        <v/>
      </c>
      <c r="K73" t="str">
        <f>IFERROR(VLOOKUP($H73,form_template,4,FALSE),"")</f>
        <v/>
      </c>
      <c r="L73" t="str">
        <f t="shared" si="8"/>
        <v/>
      </c>
    </row>
    <row r="74" spans="1:12">
      <c r="A74" s="2">
        <v>73</v>
      </c>
      <c r="B74" t="s">
        <v>362</v>
      </c>
      <c r="C74" t="s">
        <v>6</v>
      </c>
      <c r="D74" s="2" t="s">
        <v>911</v>
      </c>
      <c r="F74" t="s">
        <v>293</v>
      </c>
      <c r="G74" s="2">
        <v>6</v>
      </c>
      <c r="H74" s="2" t="s">
        <v>368</v>
      </c>
      <c r="I74" t="str">
        <f>IFERROR(VLOOKUP($H74,form_template,2,FALSE),"")</f>
        <v>form-control</v>
      </c>
      <c r="J74" s="2" t="str">
        <f>IFERROR(VLOOKUP($H74,form_template,3,FALSE),"")</f>
        <v/>
      </c>
      <c r="K74" t="str">
        <f>IFERROR(VLOOKUP($H74,form_template,4,FALSE),"")</f>
        <v/>
      </c>
      <c r="L74" t="str">
        <f t="shared" si="8"/>
        <v/>
      </c>
    </row>
    <row r="75" spans="1:12">
      <c r="A75" s="2">
        <v>74</v>
      </c>
      <c r="B75" t="s">
        <v>362</v>
      </c>
      <c r="C75" t="s">
        <v>8</v>
      </c>
      <c r="D75" s="2" t="s">
        <v>917</v>
      </c>
      <c r="F75" t="s">
        <v>9</v>
      </c>
      <c r="G75" s="2">
        <v>4</v>
      </c>
      <c r="H75" s="2" t="s">
        <v>368</v>
      </c>
      <c r="I75" t="str">
        <f>IFERROR(VLOOKUP($H75,form_template,2,FALSE),"")</f>
        <v>form-control</v>
      </c>
      <c r="J75" s="2" t="str">
        <f>IFERROR(VLOOKUP($H75,form_template,3,FALSE),"")</f>
        <v/>
      </c>
      <c r="K75" t="str">
        <f>IFERROR(VLOOKUP($H75,form_template,4,FALSE),"")</f>
        <v/>
      </c>
      <c r="L75" t="str">
        <f t="shared" si="8"/>
        <v/>
      </c>
    </row>
    <row r="76" spans="1:12">
      <c r="A76" s="2">
        <v>75</v>
      </c>
      <c r="B76" t="s">
        <v>362</v>
      </c>
      <c r="C76" t="s">
        <v>10</v>
      </c>
      <c r="D76" s="2" t="s">
        <v>292</v>
      </c>
      <c r="F76" t="s">
        <v>11</v>
      </c>
      <c r="G76" s="2">
        <v>4</v>
      </c>
      <c r="H76" s="2" t="s">
        <v>368</v>
      </c>
      <c r="I76" t="str">
        <f>IFERROR(VLOOKUP($H76,form_template,2,FALSE),"")</f>
        <v>form-control</v>
      </c>
      <c r="J76" s="2" t="str">
        <f>IFERROR(VLOOKUP($H76,form_template,3,FALSE),"")</f>
        <v/>
      </c>
      <c r="K76" t="str">
        <f>IFERROR(VLOOKUP($H76,form_template,4,FALSE),"")</f>
        <v/>
      </c>
      <c r="L76" t="str">
        <f t="shared" si="8"/>
        <v/>
      </c>
    </row>
    <row r="77" spans="1:12">
      <c r="A77" s="2">
        <v>76</v>
      </c>
      <c r="B77" t="s">
        <v>362</v>
      </c>
      <c r="C77" t="s">
        <v>12</v>
      </c>
      <c r="D77" s="2" t="s">
        <v>911</v>
      </c>
      <c r="F77" t="s">
        <v>13</v>
      </c>
      <c r="G77" s="2">
        <v>4</v>
      </c>
      <c r="H77" s="2" t="s">
        <v>368</v>
      </c>
      <c r="I77" t="str">
        <f>IFERROR(VLOOKUP($H77,form_template,2,FALSE),"")</f>
        <v>form-control</v>
      </c>
      <c r="J77" s="2" t="str">
        <f>IFERROR(VLOOKUP($H77,form_template,3,FALSE),"")</f>
        <v/>
      </c>
      <c r="K77" t="str">
        <f>IFERROR(VLOOKUP($H77,form_template,4,FALSE),"")</f>
        <v/>
      </c>
      <c r="L77" t="str">
        <f t="shared" si="8"/>
        <v/>
      </c>
    </row>
    <row r="78" spans="1:12">
      <c r="A78" s="2">
        <v>77</v>
      </c>
      <c r="B78" t="s">
        <v>362</v>
      </c>
      <c r="C78" t="s">
        <v>14</v>
      </c>
      <c r="D78" s="2" t="s">
        <v>917</v>
      </c>
      <c r="F78" t="s">
        <v>15</v>
      </c>
      <c r="G78" s="2">
        <v>6</v>
      </c>
      <c r="H78" s="2" t="s">
        <v>16</v>
      </c>
      <c r="I78" t="str">
        <f>IFERROR(VLOOKUP($H78,form_template,2,FALSE),"")</f>
        <v>form-control</v>
      </c>
      <c r="J78" s="2" t="str">
        <f>IFERROR(VLOOKUP($H78,form_template,3,FALSE),"")</f>
        <v>tel</v>
      </c>
      <c r="K78" t="str">
        <f>IFERROR(VLOOKUP($H78,form_template,4,FALSE),"")</f>
        <v>widgets/phone.html</v>
      </c>
      <c r="L78" t="str">
        <f t="shared" si="8"/>
        <v/>
      </c>
    </row>
    <row r="79" spans="1:12">
      <c r="A79" s="2">
        <v>78</v>
      </c>
      <c r="B79" t="s">
        <v>362</v>
      </c>
      <c r="C79" t="s">
        <v>78</v>
      </c>
      <c r="D79" s="2" t="s">
        <v>911</v>
      </c>
      <c r="F79" t="s">
        <v>53</v>
      </c>
      <c r="G79" s="2">
        <v>6</v>
      </c>
      <c r="H79" s="2" t="s">
        <v>368</v>
      </c>
      <c r="I79" t="str">
        <f>IFERROR(VLOOKUP($H79,form_template,2,FALSE),"")</f>
        <v>form-control</v>
      </c>
      <c r="J79" s="2" t="str">
        <f>IFERROR(VLOOKUP($H79,form_template,3,FALSE),"")</f>
        <v/>
      </c>
      <c r="K79" t="str">
        <f>IFERROR(VLOOKUP($H79,form_template,4,FALSE),"")</f>
        <v/>
      </c>
      <c r="L79" t="str">
        <f t="shared" si="8"/>
        <v/>
      </c>
    </row>
    <row r="80" spans="1:12" s="51" customFormat="1">
      <c r="A80" s="53">
        <v>79</v>
      </c>
      <c r="B80" s="51" t="s">
        <v>363</v>
      </c>
      <c r="C80" s="51" t="s">
        <v>79</v>
      </c>
      <c r="D80" s="53" t="s">
        <v>917</v>
      </c>
      <c r="F80" s="51" t="s">
        <v>299</v>
      </c>
      <c r="G80" s="53">
        <v>4</v>
      </c>
      <c r="H80" s="53" t="s">
        <v>368</v>
      </c>
      <c r="I80" s="51" t="str">
        <f>IFERROR(VLOOKUP($H80,form_template,2,FALSE),"")</f>
        <v>form-control</v>
      </c>
      <c r="J80" s="53" t="str">
        <f>IFERROR(VLOOKUP($H80,form_template,3,FALSE),"")</f>
        <v/>
      </c>
      <c r="K80" s="51" t="str">
        <f>IFERROR(VLOOKUP($H80,form_template,4,FALSE),"")</f>
        <v/>
      </c>
      <c r="L80" s="51" t="str">
        <f t="shared" si="8"/>
        <v/>
      </c>
    </row>
    <row r="81" spans="1:12" s="51" customFormat="1">
      <c r="A81" s="53">
        <v>80</v>
      </c>
      <c r="B81" s="51" t="s">
        <v>363</v>
      </c>
      <c r="C81" s="51" t="s">
        <v>80</v>
      </c>
      <c r="D81" s="53" t="s">
        <v>292</v>
      </c>
      <c r="F81" s="51" t="s">
        <v>300</v>
      </c>
      <c r="G81" s="53">
        <v>4</v>
      </c>
      <c r="H81" s="53" t="s">
        <v>368</v>
      </c>
      <c r="I81" s="51" t="str">
        <f>IFERROR(VLOOKUP($H81,form_template,2,FALSE),"")</f>
        <v>form-control</v>
      </c>
      <c r="J81" s="53" t="str">
        <f>IFERROR(VLOOKUP($H81,form_template,3,FALSE),"")</f>
        <v/>
      </c>
      <c r="K81" s="51" t="str">
        <f>IFERROR(VLOOKUP($H81,form_template,4,FALSE),"")</f>
        <v/>
      </c>
      <c r="L81" s="51" t="str">
        <f t="shared" si="8"/>
        <v/>
      </c>
    </row>
    <row r="82" spans="1:12" s="51" customFormat="1">
      <c r="A82" s="53">
        <v>81</v>
      </c>
      <c r="B82" s="51" t="s">
        <v>363</v>
      </c>
      <c r="C82" s="51" t="s">
        <v>78</v>
      </c>
      <c r="D82" s="53" t="s">
        <v>911</v>
      </c>
      <c r="F82" s="51" t="s">
        <v>53</v>
      </c>
      <c r="G82" s="53">
        <v>4</v>
      </c>
      <c r="H82" s="53" t="s">
        <v>368</v>
      </c>
      <c r="I82" s="51" t="str">
        <f>IFERROR(VLOOKUP($H82,form_template,2,FALSE),"")</f>
        <v>form-control</v>
      </c>
      <c r="J82" s="53" t="str">
        <f>IFERROR(VLOOKUP($H82,form_template,3,FALSE),"")</f>
        <v/>
      </c>
      <c r="K82" s="51" t="str">
        <f>IFERROR(VLOOKUP($H82,form_template,4,FALSE),"")</f>
        <v/>
      </c>
      <c r="L82" s="51" t="str">
        <f t="shared" si="8"/>
        <v/>
      </c>
    </row>
  </sheetData>
  <sortState xmlns:xlrd2="http://schemas.microsoft.com/office/spreadsheetml/2017/richdata2" ref="B4:L82">
    <sortCondition ref="B4:B82"/>
    <sortCondition ref="D4:D82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12410-1605-4B28-A4D6-299313BCF3B2}">
  <sheetPr codeName="Sheet4"/>
  <dimension ref="A1:F10"/>
  <sheetViews>
    <sheetView zoomScale="130" zoomScaleNormal="130" workbookViewId="0">
      <selection activeCell="D34" sqref="D34"/>
    </sheetView>
  </sheetViews>
  <sheetFormatPr defaultRowHeight="15"/>
  <cols>
    <col min="1" max="1" width="4.85546875" style="2" customWidth="1"/>
    <col min="2" max="2" width="20" customWidth="1"/>
    <col min="3" max="3" width="26.85546875" customWidth="1"/>
    <col min="4" max="4" width="12.5703125" bestFit="1" customWidth="1"/>
    <col min="5" max="5" width="27.85546875" bestFit="1" customWidth="1"/>
    <col min="6" max="6" width="10.140625" customWidth="1"/>
  </cols>
  <sheetData>
    <row r="1" spans="1:6">
      <c r="A1" s="21" t="s">
        <v>558</v>
      </c>
      <c r="B1" s="21" t="s">
        <v>406</v>
      </c>
      <c r="C1" s="21" t="s">
        <v>324</v>
      </c>
      <c r="D1" s="21" t="s">
        <v>0</v>
      </c>
      <c r="E1" s="21" t="s">
        <v>397</v>
      </c>
      <c r="F1" s="21" t="s">
        <v>527</v>
      </c>
    </row>
    <row r="2" spans="1:6">
      <c r="A2" s="2">
        <v>1</v>
      </c>
      <c r="B2" t="s">
        <v>381</v>
      </c>
      <c r="C2" t="s">
        <v>407</v>
      </c>
      <c r="D2" t="s">
        <v>94</v>
      </c>
      <c r="E2" t="s">
        <v>422</v>
      </c>
      <c r="F2" t="s">
        <v>530</v>
      </c>
    </row>
    <row r="3" spans="1:6">
      <c r="A3" s="2">
        <v>2</v>
      </c>
      <c r="B3" t="s">
        <v>382</v>
      </c>
      <c r="C3" t="s">
        <v>407</v>
      </c>
      <c r="D3" t="s">
        <v>85</v>
      </c>
      <c r="E3" t="s">
        <v>423</v>
      </c>
      <c r="F3" t="s">
        <v>530</v>
      </c>
    </row>
    <row r="4" spans="1:6">
      <c r="A4" s="2">
        <v>3</v>
      </c>
      <c r="B4" t="s">
        <v>519</v>
      </c>
      <c r="C4" t="s">
        <v>407</v>
      </c>
      <c r="D4" t="s">
        <v>256</v>
      </c>
      <c r="E4" t="s">
        <v>528</v>
      </c>
      <c r="F4" t="s">
        <v>530</v>
      </c>
    </row>
    <row r="5" spans="1:6">
      <c r="A5" s="2">
        <v>4</v>
      </c>
      <c r="B5" t="s">
        <v>384</v>
      </c>
      <c r="C5" t="s">
        <v>407</v>
      </c>
      <c r="D5" t="s">
        <v>44</v>
      </c>
      <c r="E5" t="s">
        <v>488</v>
      </c>
      <c r="F5" t="s">
        <v>530</v>
      </c>
    </row>
    <row r="6" spans="1:6">
      <c r="A6" s="2">
        <v>5</v>
      </c>
      <c r="B6" t="s">
        <v>391</v>
      </c>
      <c r="C6" t="s">
        <v>407</v>
      </c>
      <c r="D6" t="s">
        <v>77</v>
      </c>
      <c r="E6" t="s">
        <v>489</v>
      </c>
      <c r="F6" t="s">
        <v>530</v>
      </c>
    </row>
    <row r="7" spans="1:6">
      <c r="A7" s="2">
        <v>6</v>
      </c>
      <c r="B7" t="s">
        <v>385</v>
      </c>
      <c r="C7" t="s">
        <v>407</v>
      </c>
      <c r="D7" t="s">
        <v>54</v>
      </c>
      <c r="E7" t="s">
        <v>491</v>
      </c>
      <c r="F7" t="s">
        <v>530</v>
      </c>
    </row>
    <row r="8" spans="1:6">
      <c r="A8" s="2">
        <v>7</v>
      </c>
      <c r="B8" t="s">
        <v>387</v>
      </c>
      <c r="C8" t="s">
        <v>407</v>
      </c>
      <c r="D8" t="s">
        <v>97</v>
      </c>
      <c r="E8" t="s">
        <v>490</v>
      </c>
      <c r="F8" t="s">
        <v>530</v>
      </c>
    </row>
    <row r="9" spans="1:6">
      <c r="A9" s="2">
        <v>8</v>
      </c>
      <c r="B9" t="s">
        <v>379</v>
      </c>
      <c r="C9" t="s">
        <v>407</v>
      </c>
      <c r="D9" t="s">
        <v>99</v>
      </c>
      <c r="E9" t="s">
        <v>529</v>
      </c>
      <c r="F9" t="s">
        <v>530</v>
      </c>
    </row>
    <row r="10" spans="1:6">
      <c r="A10" s="2">
        <v>9</v>
      </c>
      <c r="B10" t="s">
        <v>389</v>
      </c>
      <c r="C10" t="s">
        <v>407</v>
      </c>
      <c r="D10" t="s">
        <v>75</v>
      </c>
      <c r="E10" t="s">
        <v>410</v>
      </c>
      <c r="F10" t="s">
        <v>530</v>
      </c>
    </row>
  </sheetData>
  <sortState xmlns:xlrd2="http://schemas.microsoft.com/office/spreadsheetml/2017/richdata2" ref="D3:D10">
    <sortCondition ref="D2:D10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B6BC4-A136-46AA-B254-92D71F925899}">
  <sheetPr codeName="Sheet16"/>
  <dimension ref="A1:G110"/>
  <sheetViews>
    <sheetView zoomScale="130" zoomScaleNormal="130" workbookViewId="0">
      <selection activeCell="C2" sqref="C2:G2"/>
    </sheetView>
  </sheetViews>
  <sheetFormatPr defaultRowHeight="15"/>
  <cols>
    <col min="1" max="1" width="4.28515625" style="2" bestFit="1" customWidth="1"/>
    <col min="2" max="2" width="16.7109375" style="34" bestFit="1" customWidth="1"/>
    <col min="3" max="3" width="40.7109375" style="35" bestFit="1" customWidth="1"/>
    <col min="4" max="4" width="11" style="35" bestFit="1" customWidth="1"/>
    <col min="5" max="5" width="28.85546875" style="35" bestFit="1" customWidth="1"/>
    <col min="6" max="6" width="17.28515625" style="35" bestFit="1" customWidth="1"/>
    <col min="7" max="7" width="25.28515625" style="35" bestFit="1" customWidth="1"/>
    <col min="8" max="16384" width="9.140625" style="34"/>
  </cols>
  <sheetData>
    <row r="1" spans="1:7">
      <c r="A1" s="21" t="s">
        <v>558</v>
      </c>
      <c r="B1" s="21" t="s">
        <v>406</v>
      </c>
      <c r="C1" s="21" t="s">
        <v>920</v>
      </c>
      <c r="D1" s="21" t="s">
        <v>902</v>
      </c>
      <c r="E1" s="21" t="s">
        <v>906</v>
      </c>
      <c r="F1" s="21" t="s">
        <v>524</v>
      </c>
      <c r="G1" s="21" t="s">
        <v>903</v>
      </c>
    </row>
    <row r="2" spans="1:7">
      <c r="A2" s="2">
        <v>1</v>
      </c>
      <c r="B2" s="34" t="s">
        <v>380</v>
      </c>
      <c r="C2" s="35" t="s">
        <v>546</v>
      </c>
      <c r="D2" s="35" t="s">
        <v>526</v>
      </c>
      <c r="E2" s="35" t="s">
        <v>421</v>
      </c>
      <c r="F2" s="35" t="s">
        <v>1</v>
      </c>
      <c r="G2" s="35" t="s">
        <v>904</v>
      </c>
    </row>
    <row r="3" spans="1:7">
      <c r="A3" s="2">
        <v>2</v>
      </c>
      <c r="B3" s="34" t="s">
        <v>380</v>
      </c>
      <c r="C3" s="35" t="s">
        <v>113</v>
      </c>
      <c r="D3" s="35" t="s">
        <v>526</v>
      </c>
      <c r="F3" s="35" t="s">
        <v>5</v>
      </c>
      <c r="G3" s="35" t="s">
        <v>904</v>
      </c>
    </row>
    <row r="4" spans="1:7">
      <c r="A4" s="2">
        <v>3</v>
      </c>
      <c r="B4" s="34" t="s">
        <v>380</v>
      </c>
      <c r="C4" s="35" t="s">
        <v>114</v>
      </c>
      <c r="D4" s="35" t="s">
        <v>526</v>
      </c>
      <c r="F4" s="35" t="s">
        <v>293</v>
      </c>
      <c r="G4" s="35" t="s">
        <v>904</v>
      </c>
    </row>
    <row r="5" spans="1:7">
      <c r="A5" s="2">
        <v>4</v>
      </c>
      <c r="B5" s="34" t="s">
        <v>380</v>
      </c>
      <c r="C5" s="35" t="s">
        <v>115</v>
      </c>
      <c r="D5" s="35" t="s">
        <v>525</v>
      </c>
      <c r="F5" s="35" t="s">
        <v>9</v>
      </c>
      <c r="G5" s="35" t="s">
        <v>905</v>
      </c>
    </row>
    <row r="6" spans="1:7">
      <c r="A6" s="2">
        <v>5</v>
      </c>
      <c r="B6" s="34" t="s">
        <v>380</v>
      </c>
      <c r="C6" s="35" t="s">
        <v>116</v>
      </c>
      <c r="D6" s="35" t="s">
        <v>525</v>
      </c>
      <c r="F6" s="35" t="s">
        <v>11</v>
      </c>
      <c r="G6" s="35" t="s">
        <v>905</v>
      </c>
    </row>
    <row r="7" spans="1:7">
      <c r="A7" s="2">
        <v>6</v>
      </c>
      <c r="B7" s="34" t="s">
        <v>380</v>
      </c>
      <c r="C7" s="35" t="s">
        <v>117</v>
      </c>
      <c r="D7" s="35" t="s">
        <v>525</v>
      </c>
      <c r="F7" s="35" t="s">
        <v>13</v>
      </c>
      <c r="G7" s="35" t="s">
        <v>905</v>
      </c>
    </row>
    <row r="8" spans="1:7">
      <c r="A8" s="2">
        <v>7</v>
      </c>
      <c r="B8" s="34" t="s">
        <v>380</v>
      </c>
      <c r="C8" s="35" t="s">
        <v>118</v>
      </c>
      <c r="D8" s="35" t="s">
        <v>525</v>
      </c>
      <c r="F8" s="35" t="s">
        <v>15</v>
      </c>
      <c r="G8" s="35" t="s">
        <v>905</v>
      </c>
    </row>
    <row r="9" spans="1:7">
      <c r="A9" s="2">
        <v>8</v>
      </c>
      <c r="B9" s="34" t="s">
        <v>380</v>
      </c>
      <c r="C9" s="35" t="s">
        <v>119</v>
      </c>
      <c r="D9" s="35" t="s">
        <v>525</v>
      </c>
      <c r="F9" s="35" t="s">
        <v>294</v>
      </c>
      <c r="G9" s="35" t="s">
        <v>905</v>
      </c>
    </row>
    <row r="10" spans="1:7">
      <c r="A10" s="2">
        <v>9</v>
      </c>
      <c r="B10" s="34" t="s">
        <v>380</v>
      </c>
      <c r="C10" s="35" t="s">
        <v>120</v>
      </c>
      <c r="D10" s="35" t="s">
        <v>526</v>
      </c>
      <c r="F10" s="35" t="s">
        <v>19</v>
      </c>
      <c r="G10" s="35" t="s">
        <v>904</v>
      </c>
    </row>
    <row r="11" spans="1:7">
      <c r="A11" s="2">
        <v>10</v>
      </c>
      <c r="B11" s="34" t="s">
        <v>380</v>
      </c>
      <c r="C11" s="35" t="s">
        <v>121</v>
      </c>
      <c r="D11" s="35" t="s">
        <v>526</v>
      </c>
      <c r="F11" s="35" t="s">
        <v>22</v>
      </c>
      <c r="G11" s="35" t="s">
        <v>904</v>
      </c>
    </row>
    <row r="12" spans="1:7">
      <c r="A12" s="2">
        <v>11</v>
      </c>
      <c r="B12" s="34" t="s">
        <v>380</v>
      </c>
      <c r="C12" s="35" t="s">
        <v>122</v>
      </c>
      <c r="D12" s="35" t="s">
        <v>525</v>
      </c>
      <c r="F12" s="35" t="s">
        <v>24</v>
      </c>
      <c r="G12" s="35" t="s">
        <v>905</v>
      </c>
    </row>
    <row r="13" spans="1:7">
      <c r="A13" s="2">
        <v>12</v>
      </c>
      <c r="B13" s="34" t="s">
        <v>380</v>
      </c>
      <c r="C13" s="35" t="s">
        <v>123</v>
      </c>
      <c r="D13" s="35" t="s">
        <v>526</v>
      </c>
      <c r="F13" s="35" t="s">
        <v>26</v>
      </c>
      <c r="G13" s="35" t="s">
        <v>904</v>
      </c>
    </row>
    <row r="14" spans="1:7">
      <c r="A14" s="2">
        <v>13</v>
      </c>
      <c r="B14" s="34" t="s">
        <v>381</v>
      </c>
      <c r="C14" s="35" t="s">
        <v>546</v>
      </c>
      <c r="D14" s="35" t="s">
        <v>526</v>
      </c>
      <c r="E14" s="35" t="s">
        <v>422</v>
      </c>
      <c r="F14" s="35" t="s">
        <v>94</v>
      </c>
      <c r="G14" s="35" t="s">
        <v>904</v>
      </c>
    </row>
    <row r="15" spans="1:7">
      <c r="A15" s="2">
        <v>14</v>
      </c>
      <c r="B15" s="34" t="s">
        <v>381</v>
      </c>
      <c r="C15" s="36" t="s">
        <v>172</v>
      </c>
      <c r="D15" s="35" t="s">
        <v>525</v>
      </c>
      <c r="F15" s="35" t="s">
        <v>75</v>
      </c>
      <c r="G15" s="35" t="s">
        <v>905</v>
      </c>
    </row>
    <row r="16" spans="1:7">
      <c r="A16" s="2">
        <v>15</v>
      </c>
      <c r="B16" s="34" t="s">
        <v>381</v>
      </c>
      <c r="C16" s="36" t="s">
        <v>138</v>
      </c>
      <c r="D16" s="35" t="s">
        <v>526</v>
      </c>
      <c r="F16" s="35" t="s">
        <v>46</v>
      </c>
      <c r="G16" s="35" t="s">
        <v>904</v>
      </c>
    </row>
    <row r="17" spans="1:7">
      <c r="A17" s="2">
        <v>16</v>
      </c>
      <c r="B17" s="34" t="s">
        <v>381</v>
      </c>
      <c r="C17" s="36" t="s">
        <v>173</v>
      </c>
      <c r="D17" s="35" t="s">
        <v>525</v>
      </c>
      <c r="F17" s="35" t="s">
        <v>295</v>
      </c>
      <c r="G17" s="35" t="s">
        <v>905</v>
      </c>
    </row>
    <row r="18" spans="1:7">
      <c r="A18" s="2">
        <v>17</v>
      </c>
      <c r="B18" s="34" t="s">
        <v>382</v>
      </c>
      <c r="C18" s="35" t="s">
        <v>546</v>
      </c>
      <c r="D18" s="35" t="s">
        <v>526</v>
      </c>
      <c r="E18" s="35" t="s">
        <v>423</v>
      </c>
      <c r="F18" s="35" t="s">
        <v>85</v>
      </c>
      <c r="G18" s="35" t="s">
        <v>904</v>
      </c>
    </row>
    <row r="19" spans="1:7">
      <c r="A19" s="2">
        <v>18</v>
      </c>
      <c r="B19" s="34" t="s">
        <v>382</v>
      </c>
      <c r="C19" s="36" t="s">
        <v>166</v>
      </c>
      <c r="D19" s="35" t="s">
        <v>525</v>
      </c>
      <c r="F19" s="35" t="s">
        <v>27</v>
      </c>
      <c r="G19" s="35" t="s">
        <v>905</v>
      </c>
    </row>
    <row r="20" spans="1:7">
      <c r="A20" s="2">
        <v>19</v>
      </c>
      <c r="B20" s="34" t="s">
        <v>382</v>
      </c>
      <c r="C20" s="36" t="s">
        <v>167</v>
      </c>
      <c r="D20" s="35" t="s">
        <v>525</v>
      </c>
      <c r="F20" s="35" t="s">
        <v>1</v>
      </c>
      <c r="G20" s="35" t="s">
        <v>905</v>
      </c>
    </row>
    <row r="21" spans="1:7">
      <c r="A21" s="2">
        <v>20</v>
      </c>
      <c r="B21" s="34" t="s">
        <v>382</v>
      </c>
      <c r="C21" s="36" t="s">
        <v>168</v>
      </c>
      <c r="D21" s="35" t="s">
        <v>525</v>
      </c>
      <c r="F21" s="35" t="s">
        <v>88</v>
      </c>
      <c r="G21" s="35" t="s">
        <v>905</v>
      </c>
    </row>
    <row r="22" spans="1:7">
      <c r="A22" s="2">
        <v>21</v>
      </c>
      <c r="B22" s="34" t="s">
        <v>382</v>
      </c>
      <c r="C22" s="36" t="s">
        <v>169</v>
      </c>
      <c r="D22" s="35" t="s">
        <v>526</v>
      </c>
      <c r="F22" s="35" t="s">
        <v>90</v>
      </c>
      <c r="G22" s="35" t="s">
        <v>904</v>
      </c>
    </row>
    <row r="23" spans="1:7">
      <c r="A23" s="2">
        <v>22</v>
      </c>
      <c r="B23" s="34" t="s">
        <v>382</v>
      </c>
      <c r="C23" s="36" t="s">
        <v>170</v>
      </c>
      <c r="D23" s="35" t="s">
        <v>526</v>
      </c>
      <c r="F23" s="35" t="s">
        <v>92</v>
      </c>
      <c r="G23" s="35" t="s">
        <v>904</v>
      </c>
    </row>
    <row r="24" spans="1:7">
      <c r="A24" s="2">
        <v>23</v>
      </c>
      <c r="B24" s="34" t="s">
        <v>382</v>
      </c>
      <c r="C24" s="36" t="s">
        <v>171</v>
      </c>
      <c r="D24" s="35" t="s">
        <v>525</v>
      </c>
      <c r="F24" s="35" t="s">
        <v>296</v>
      </c>
      <c r="G24" s="35" t="s">
        <v>905</v>
      </c>
    </row>
    <row r="25" spans="1:7">
      <c r="A25" s="2">
        <v>24</v>
      </c>
      <c r="B25" s="34" t="s">
        <v>383</v>
      </c>
      <c r="C25" s="35" t="s">
        <v>546</v>
      </c>
      <c r="D25" s="35" t="s">
        <v>526</v>
      </c>
      <c r="E25" s="35" t="s">
        <v>487</v>
      </c>
      <c r="F25" s="35" t="s">
        <v>27</v>
      </c>
      <c r="G25" s="35" t="s">
        <v>904</v>
      </c>
    </row>
    <row r="26" spans="1:7">
      <c r="A26" s="2">
        <v>25</v>
      </c>
      <c r="B26" s="34" t="s">
        <v>383</v>
      </c>
      <c r="C26" s="35" t="s">
        <v>124</v>
      </c>
      <c r="D26" s="35" t="s">
        <v>526</v>
      </c>
      <c r="F26" s="35" t="s">
        <v>29</v>
      </c>
      <c r="G26" s="35" t="s">
        <v>904</v>
      </c>
    </row>
    <row r="27" spans="1:7">
      <c r="A27" s="2">
        <v>26</v>
      </c>
      <c r="B27" s="34" t="s">
        <v>383</v>
      </c>
      <c r="C27" s="35" t="s">
        <v>125</v>
      </c>
      <c r="D27" s="35" t="s">
        <v>525</v>
      </c>
      <c r="F27" s="35" t="s">
        <v>297</v>
      </c>
      <c r="G27" s="35" t="s">
        <v>905</v>
      </c>
    </row>
    <row r="28" spans="1:7">
      <c r="A28" s="2">
        <v>27</v>
      </c>
      <c r="B28" s="34" t="s">
        <v>383</v>
      </c>
      <c r="C28" s="35" t="s">
        <v>113</v>
      </c>
      <c r="D28" s="35" t="s">
        <v>526</v>
      </c>
      <c r="F28" s="35" t="s">
        <v>5</v>
      </c>
      <c r="G28" s="35" t="s">
        <v>904</v>
      </c>
    </row>
    <row r="29" spans="1:7">
      <c r="A29" s="2">
        <v>28</v>
      </c>
      <c r="B29" s="34" t="s">
        <v>383</v>
      </c>
      <c r="C29" s="35" t="s">
        <v>114</v>
      </c>
      <c r="D29" s="35" t="s">
        <v>526</v>
      </c>
      <c r="F29" s="35" t="s">
        <v>293</v>
      </c>
      <c r="G29" s="35" t="s">
        <v>904</v>
      </c>
    </row>
    <row r="30" spans="1:7">
      <c r="A30" s="2">
        <v>29</v>
      </c>
      <c r="B30" s="34" t="s">
        <v>383</v>
      </c>
      <c r="C30" s="35" t="s">
        <v>115</v>
      </c>
      <c r="D30" s="35" t="s">
        <v>525</v>
      </c>
      <c r="F30" s="35" t="s">
        <v>9</v>
      </c>
      <c r="G30" s="35" t="s">
        <v>905</v>
      </c>
    </row>
    <row r="31" spans="1:7">
      <c r="A31" s="2">
        <v>30</v>
      </c>
      <c r="B31" s="34" t="s">
        <v>383</v>
      </c>
      <c r="C31" s="35" t="s">
        <v>116</v>
      </c>
      <c r="D31" s="35" t="s">
        <v>525</v>
      </c>
      <c r="F31" s="35" t="s">
        <v>11</v>
      </c>
      <c r="G31" s="35" t="s">
        <v>905</v>
      </c>
    </row>
    <row r="32" spans="1:7">
      <c r="A32" s="2">
        <v>31</v>
      </c>
      <c r="B32" s="34" t="s">
        <v>383</v>
      </c>
      <c r="C32" s="35" t="s">
        <v>117</v>
      </c>
      <c r="D32" s="35" t="s">
        <v>525</v>
      </c>
      <c r="F32" s="35" t="s">
        <v>13</v>
      </c>
      <c r="G32" s="35" t="s">
        <v>905</v>
      </c>
    </row>
    <row r="33" spans="1:7">
      <c r="A33" s="2">
        <v>32</v>
      </c>
      <c r="B33" s="34" t="s">
        <v>383</v>
      </c>
      <c r="C33" s="35" t="s">
        <v>118</v>
      </c>
      <c r="D33" s="35" t="s">
        <v>525</v>
      </c>
      <c r="F33" s="35" t="s">
        <v>15</v>
      </c>
      <c r="G33" s="35" t="s">
        <v>905</v>
      </c>
    </row>
    <row r="34" spans="1:7">
      <c r="A34" s="2">
        <v>33</v>
      </c>
      <c r="B34" s="34" t="s">
        <v>383</v>
      </c>
      <c r="C34" s="35" t="s">
        <v>126</v>
      </c>
      <c r="D34" s="35" t="s">
        <v>525</v>
      </c>
      <c r="F34" s="35" t="s">
        <v>298</v>
      </c>
      <c r="G34" s="35" t="s">
        <v>905</v>
      </c>
    </row>
    <row r="35" spans="1:7">
      <c r="A35" s="2">
        <v>34</v>
      </c>
      <c r="B35" s="34" t="s">
        <v>383</v>
      </c>
      <c r="C35" s="35" t="s">
        <v>127</v>
      </c>
      <c r="D35" s="35" t="s">
        <v>526</v>
      </c>
      <c r="F35" s="35" t="s">
        <v>299</v>
      </c>
      <c r="G35" s="35" t="s">
        <v>904</v>
      </c>
    </row>
    <row r="36" spans="1:7">
      <c r="A36" s="2">
        <v>35</v>
      </c>
      <c r="B36" s="34" t="s">
        <v>383</v>
      </c>
      <c r="C36" s="35" t="s">
        <v>128</v>
      </c>
      <c r="D36" s="35" t="s">
        <v>526</v>
      </c>
      <c r="F36" s="35" t="s">
        <v>300</v>
      </c>
      <c r="G36" s="35" t="s">
        <v>904</v>
      </c>
    </row>
    <row r="37" spans="1:7">
      <c r="A37" s="2">
        <v>36</v>
      </c>
      <c r="B37" s="34" t="s">
        <v>383</v>
      </c>
      <c r="C37" s="35" t="s">
        <v>129</v>
      </c>
      <c r="D37" s="35" t="s">
        <v>525</v>
      </c>
      <c r="F37" s="35" t="s">
        <v>15</v>
      </c>
      <c r="G37" s="35" t="s">
        <v>905</v>
      </c>
    </row>
    <row r="38" spans="1:7">
      <c r="A38" s="2">
        <v>37</v>
      </c>
      <c r="B38" s="34" t="s">
        <v>383</v>
      </c>
      <c r="C38" s="35" t="s">
        <v>130</v>
      </c>
      <c r="D38" s="35" t="s">
        <v>526</v>
      </c>
      <c r="F38" s="35" t="s">
        <v>36</v>
      </c>
      <c r="G38" s="35" t="s">
        <v>904</v>
      </c>
    </row>
    <row r="39" spans="1:7">
      <c r="A39" s="2">
        <v>38</v>
      </c>
      <c r="B39" s="34" t="s">
        <v>383</v>
      </c>
      <c r="C39" s="35" t="s">
        <v>131</v>
      </c>
      <c r="D39" s="35" t="s">
        <v>526</v>
      </c>
      <c r="F39" s="35" t="s">
        <v>299</v>
      </c>
      <c r="G39" s="35" t="s">
        <v>904</v>
      </c>
    </row>
    <row r="40" spans="1:7">
      <c r="A40" s="2">
        <v>39</v>
      </c>
      <c r="B40" s="34" t="s">
        <v>383</v>
      </c>
      <c r="C40" s="35" t="s">
        <v>132</v>
      </c>
      <c r="D40" s="35" t="s">
        <v>526</v>
      </c>
      <c r="F40" s="35" t="s">
        <v>300</v>
      </c>
      <c r="G40" s="35" t="s">
        <v>904</v>
      </c>
    </row>
    <row r="41" spans="1:7">
      <c r="A41" s="2">
        <v>40</v>
      </c>
      <c r="B41" s="34" t="s">
        <v>383</v>
      </c>
      <c r="C41" s="35" t="s">
        <v>133</v>
      </c>
      <c r="D41" s="35" t="s">
        <v>525</v>
      </c>
      <c r="F41" s="35" t="s">
        <v>15</v>
      </c>
      <c r="G41" s="35" t="s">
        <v>905</v>
      </c>
    </row>
    <row r="42" spans="1:7">
      <c r="A42" s="2">
        <v>41</v>
      </c>
      <c r="B42" s="34" t="s">
        <v>383</v>
      </c>
      <c r="C42" s="35" t="s">
        <v>134</v>
      </c>
      <c r="D42" s="35" t="s">
        <v>526</v>
      </c>
      <c r="F42" s="35" t="s">
        <v>36</v>
      </c>
      <c r="G42" s="35" t="s">
        <v>904</v>
      </c>
    </row>
    <row r="43" spans="1:7">
      <c r="A43" s="2">
        <v>42</v>
      </c>
      <c r="B43" s="34" t="s">
        <v>383</v>
      </c>
      <c r="C43" s="35" t="s">
        <v>135</v>
      </c>
      <c r="D43" s="35" t="s">
        <v>525</v>
      </c>
      <c r="F43" s="35" t="s">
        <v>301</v>
      </c>
      <c r="G43" s="35" t="s">
        <v>905</v>
      </c>
    </row>
    <row r="44" spans="1:7">
      <c r="A44" s="2">
        <v>43</v>
      </c>
      <c r="B44" s="34" t="s">
        <v>383</v>
      </c>
      <c r="C44" s="35" t="s">
        <v>136</v>
      </c>
      <c r="D44" s="35" t="s">
        <v>525</v>
      </c>
      <c r="F44" s="35" t="s">
        <v>302</v>
      </c>
      <c r="G44" s="35" t="s">
        <v>905</v>
      </c>
    </row>
    <row r="45" spans="1:7">
      <c r="A45" s="2">
        <v>44</v>
      </c>
      <c r="B45" s="34" t="s">
        <v>383</v>
      </c>
      <c r="C45" s="35" t="s">
        <v>137</v>
      </c>
      <c r="D45" s="35" t="s">
        <v>526</v>
      </c>
      <c r="F45" s="35" t="s">
        <v>303</v>
      </c>
      <c r="G45" s="35" t="s">
        <v>904</v>
      </c>
    </row>
    <row r="46" spans="1:7">
      <c r="A46" s="2">
        <v>45</v>
      </c>
      <c r="B46" s="34" t="s">
        <v>383</v>
      </c>
      <c r="C46" s="35" t="s">
        <v>121</v>
      </c>
      <c r="D46" s="35" t="s">
        <v>526</v>
      </c>
      <c r="F46" s="35" t="s">
        <v>22</v>
      </c>
      <c r="G46" s="35" t="s">
        <v>904</v>
      </c>
    </row>
    <row r="47" spans="1:7">
      <c r="A47" s="2">
        <v>46</v>
      </c>
      <c r="B47" s="34" t="s">
        <v>384</v>
      </c>
      <c r="C47" s="35" t="s">
        <v>546</v>
      </c>
      <c r="D47" s="35" t="s">
        <v>526</v>
      </c>
      <c r="E47" s="35" t="s">
        <v>488</v>
      </c>
      <c r="F47" s="35" t="s">
        <v>44</v>
      </c>
      <c r="G47" s="35" t="s">
        <v>904</v>
      </c>
    </row>
    <row r="48" spans="1:7">
      <c r="A48" s="2">
        <v>47</v>
      </c>
      <c r="B48" s="34" t="s">
        <v>384</v>
      </c>
      <c r="C48" s="35" t="s">
        <v>138</v>
      </c>
      <c r="D48" s="35" t="s">
        <v>526</v>
      </c>
      <c r="F48" s="35" t="s">
        <v>46</v>
      </c>
      <c r="G48" s="35" t="s">
        <v>904</v>
      </c>
    </row>
    <row r="49" spans="1:7">
      <c r="A49" s="2">
        <v>48</v>
      </c>
      <c r="B49" s="34" t="s">
        <v>384</v>
      </c>
      <c r="C49" s="35" t="s">
        <v>139</v>
      </c>
      <c r="D49" s="35" t="s">
        <v>526</v>
      </c>
      <c r="F49" s="35" t="s">
        <v>48</v>
      </c>
      <c r="G49" s="35" t="s">
        <v>904</v>
      </c>
    </row>
    <row r="50" spans="1:7">
      <c r="A50" s="2">
        <v>49</v>
      </c>
      <c r="B50" s="34" t="s">
        <v>384</v>
      </c>
      <c r="C50" s="35" t="s">
        <v>140</v>
      </c>
      <c r="D50" s="35" t="s">
        <v>526</v>
      </c>
      <c r="F50" s="35" t="s">
        <v>50</v>
      </c>
      <c r="G50" s="35" t="s">
        <v>904</v>
      </c>
    </row>
    <row r="51" spans="1:7">
      <c r="A51" s="2">
        <v>50</v>
      </c>
      <c r="B51" s="34" t="s">
        <v>384</v>
      </c>
      <c r="C51" s="35" t="s">
        <v>141</v>
      </c>
      <c r="D51" s="35" t="s">
        <v>525</v>
      </c>
      <c r="F51" s="35" t="s">
        <v>15</v>
      </c>
      <c r="G51" s="35" t="s">
        <v>905</v>
      </c>
    </row>
    <row r="52" spans="1:7">
      <c r="A52" s="2">
        <v>51</v>
      </c>
      <c r="B52" s="34" t="s">
        <v>384</v>
      </c>
      <c r="C52" s="35" t="s">
        <v>142</v>
      </c>
      <c r="D52" s="35" t="s">
        <v>526</v>
      </c>
      <c r="F52" s="35" t="s">
        <v>53</v>
      </c>
      <c r="G52" s="35" t="s">
        <v>904</v>
      </c>
    </row>
    <row r="53" spans="1:7">
      <c r="A53" s="2">
        <v>52</v>
      </c>
      <c r="B53" s="34" t="s">
        <v>391</v>
      </c>
      <c r="C53" s="35" t="s">
        <v>546</v>
      </c>
      <c r="D53" s="35" t="s">
        <v>526</v>
      </c>
      <c r="E53" s="34" t="s">
        <v>489</v>
      </c>
      <c r="F53" s="35" t="s">
        <v>77</v>
      </c>
      <c r="G53" s="35" t="s">
        <v>904</v>
      </c>
    </row>
    <row r="54" spans="1:7">
      <c r="A54" s="2">
        <v>53</v>
      </c>
      <c r="B54" s="34" t="s">
        <v>391</v>
      </c>
      <c r="C54" s="35" t="s">
        <v>320</v>
      </c>
      <c r="D54" s="35" t="s">
        <v>525</v>
      </c>
      <c r="F54" s="35" t="s">
        <v>99</v>
      </c>
      <c r="G54" s="35" t="s">
        <v>905</v>
      </c>
    </row>
    <row r="55" spans="1:7">
      <c r="A55" s="2">
        <v>54</v>
      </c>
      <c r="B55" s="34" t="s">
        <v>391</v>
      </c>
      <c r="C55" s="35" t="s">
        <v>321</v>
      </c>
      <c r="D55" s="35" t="s">
        <v>525</v>
      </c>
      <c r="F55" s="35" t="s">
        <v>291</v>
      </c>
      <c r="G55" s="35" t="s">
        <v>905</v>
      </c>
    </row>
    <row r="56" spans="1:7">
      <c r="A56" s="2">
        <v>55</v>
      </c>
      <c r="B56" s="34" t="s">
        <v>386</v>
      </c>
      <c r="C56" s="35" t="s">
        <v>546</v>
      </c>
      <c r="D56" s="35" t="s">
        <v>526</v>
      </c>
      <c r="E56" s="34" t="s">
        <v>491</v>
      </c>
      <c r="F56" s="35" t="s">
        <v>54</v>
      </c>
      <c r="G56" s="35" t="s">
        <v>904</v>
      </c>
    </row>
    <row r="57" spans="1:7">
      <c r="A57" s="2">
        <v>56</v>
      </c>
      <c r="B57" s="34" t="s">
        <v>386</v>
      </c>
      <c r="C57" s="35" t="s">
        <v>175</v>
      </c>
      <c r="D57" s="35" t="s">
        <v>526</v>
      </c>
      <c r="F57" s="35" t="s">
        <v>94</v>
      </c>
      <c r="G57" s="35" t="s">
        <v>904</v>
      </c>
    </row>
    <row r="58" spans="1:7">
      <c r="A58" s="2">
        <v>57</v>
      </c>
      <c r="B58" s="34" t="s">
        <v>386</v>
      </c>
      <c r="C58" s="35" t="s">
        <v>139</v>
      </c>
      <c r="D58" s="35" t="s">
        <v>526</v>
      </c>
      <c r="F58" s="35" t="s">
        <v>48</v>
      </c>
      <c r="G58" s="35" t="s">
        <v>904</v>
      </c>
    </row>
    <row r="59" spans="1:7">
      <c r="A59" s="2">
        <v>58</v>
      </c>
      <c r="B59" s="34" t="s">
        <v>386</v>
      </c>
      <c r="C59" s="35" t="s">
        <v>176</v>
      </c>
      <c r="D59" s="35" t="s">
        <v>526</v>
      </c>
      <c r="F59" s="35" t="s">
        <v>104</v>
      </c>
      <c r="G59" s="35" t="s">
        <v>904</v>
      </c>
    </row>
    <row r="60" spans="1:7">
      <c r="A60" s="2">
        <v>59</v>
      </c>
      <c r="B60" s="34" t="s">
        <v>386</v>
      </c>
      <c r="C60" s="35" t="s">
        <v>177</v>
      </c>
      <c r="D60" s="35" t="s">
        <v>526</v>
      </c>
      <c r="F60" s="35" t="s">
        <v>105</v>
      </c>
      <c r="G60" s="35" t="s">
        <v>904</v>
      </c>
    </row>
    <row r="61" spans="1:7">
      <c r="A61" s="2">
        <v>60</v>
      </c>
      <c r="B61" s="34" t="s">
        <v>386</v>
      </c>
      <c r="C61" s="35" t="s">
        <v>178</v>
      </c>
      <c r="D61" s="35" t="s">
        <v>526</v>
      </c>
      <c r="F61" s="35" t="s">
        <v>106</v>
      </c>
      <c r="G61" s="35" t="s">
        <v>904</v>
      </c>
    </row>
    <row r="62" spans="1:7">
      <c r="A62" s="2">
        <v>61</v>
      </c>
      <c r="B62" s="34" t="s">
        <v>386</v>
      </c>
      <c r="C62" s="35" t="s">
        <v>179</v>
      </c>
      <c r="D62" s="35" t="s">
        <v>525</v>
      </c>
      <c r="F62" s="35" t="s">
        <v>107</v>
      </c>
      <c r="G62" s="35" t="s">
        <v>905</v>
      </c>
    </row>
    <row r="63" spans="1:7">
      <c r="A63" s="2">
        <v>62</v>
      </c>
      <c r="B63" s="34" t="s">
        <v>386</v>
      </c>
      <c r="C63" s="35" t="s">
        <v>180</v>
      </c>
      <c r="D63" s="35" t="s">
        <v>525</v>
      </c>
      <c r="F63" s="35" t="s">
        <v>108</v>
      </c>
      <c r="G63" s="35" t="s">
        <v>905</v>
      </c>
    </row>
    <row r="64" spans="1:7">
      <c r="A64" s="2">
        <v>63</v>
      </c>
      <c r="B64" s="34" t="s">
        <v>386</v>
      </c>
      <c r="C64" s="35" t="s">
        <v>181</v>
      </c>
      <c r="D64" s="35" t="s">
        <v>525</v>
      </c>
      <c r="F64" s="35" t="s">
        <v>109</v>
      </c>
      <c r="G64" s="35" t="s">
        <v>905</v>
      </c>
    </row>
    <row r="65" spans="1:7">
      <c r="A65" s="2">
        <v>64</v>
      </c>
      <c r="B65" s="34" t="s">
        <v>386</v>
      </c>
      <c r="C65" s="35" t="s">
        <v>182</v>
      </c>
      <c r="D65" s="35" t="s">
        <v>525</v>
      </c>
      <c r="F65" s="35" t="s">
        <v>110</v>
      </c>
      <c r="G65" s="35" t="s">
        <v>905</v>
      </c>
    </row>
    <row r="66" spans="1:7">
      <c r="A66" s="2">
        <v>65</v>
      </c>
      <c r="B66" s="34" t="s">
        <v>386</v>
      </c>
      <c r="C66" s="35" t="s">
        <v>183</v>
      </c>
      <c r="D66" s="35" t="s">
        <v>525</v>
      </c>
      <c r="F66" s="35" t="s">
        <v>111</v>
      </c>
      <c r="G66" s="35" t="s">
        <v>905</v>
      </c>
    </row>
    <row r="67" spans="1:7">
      <c r="A67" s="2">
        <v>66</v>
      </c>
      <c r="B67" s="34" t="s">
        <v>385</v>
      </c>
      <c r="C67" s="35" t="s">
        <v>546</v>
      </c>
      <c r="D67" s="35" t="s">
        <v>526</v>
      </c>
      <c r="E67" s="34" t="s">
        <v>491</v>
      </c>
      <c r="F67" s="35" t="s">
        <v>54</v>
      </c>
      <c r="G67" s="35" t="s">
        <v>904</v>
      </c>
    </row>
    <row r="68" spans="1:7">
      <c r="A68" s="2">
        <v>67</v>
      </c>
      <c r="B68" s="34" t="s">
        <v>385</v>
      </c>
      <c r="C68" s="35" t="s">
        <v>143</v>
      </c>
      <c r="D68" s="35" t="s">
        <v>525</v>
      </c>
      <c r="F68" s="35" t="s">
        <v>304</v>
      </c>
      <c r="G68" s="35" t="s">
        <v>905</v>
      </c>
    </row>
    <row r="69" spans="1:7">
      <c r="A69" s="2">
        <v>68</v>
      </c>
      <c r="B69" s="34" t="s">
        <v>385</v>
      </c>
      <c r="C69" s="35" t="s">
        <v>144</v>
      </c>
      <c r="D69" s="35" t="s">
        <v>525</v>
      </c>
      <c r="F69" s="35" t="s">
        <v>305</v>
      </c>
      <c r="G69" s="35" t="s">
        <v>905</v>
      </c>
    </row>
    <row r="70" spans="1:7">
      <c r="A70" s="2">
        <v>69</v>
      </c>
      <c r="B70" s="34" t="s">
        <v>385</v>
      </c>
      <c r="C70" s="37" t="s">
        <v>145</v>
      </c>
      <c r="D70" s="35" t="s">
        <v>525</v>
      </c>
      <c r="E70" s="34" t="s">
        <v>488</v>
      </c>
      <c r="F70" s="35" t="s">
        <v>44</v>
      </c>
      <c r="G70" s="35" t="s">
        <v>905</v>
      </c>
    </row>
    <row r="71" spans="1:7">
      <c r="A71" s="2">
        <v>70</v>
      </c>
      <c r="B71" s="34" t="s">
        <v>385</v>
      </c>
      <c r="C71" s="35" t="s">
        <v>146</v>
      </c>
      <c r="D71" s="35" t="s">
        <v>526</v>
      </c>
      <c r="F71" s="35" t="s">
        <v>59</v>
      </c>
      <c r="G71" s="35" t="s">
        <v>904</v>
      </c>
    </row>
    <row r="72" spans="1:7">
      <c r="A72" s="2">
        <v>71</v>
      </c>
      <c r="B72" s="34" t="s">
        <v>385</v>
      </c>
      <c r="C72" s="35" t="s">
        <v>147</v>
      </c>
      <c r="D72" s="35" t="s">
        <v>525</v>
      </c>
      <c r="F72" s="35" t="s">
        <v>61</v>
      </c>
      <c r="G72" s="35" t="s">
        <v>905</v>
      </c>
    </row>
    <row r="73" spans="1:7">
      <c r="A73" s="2">
        <v>72</v>
      </c>
      <c r="B73" s="34" t="s">
        <v>385</v>
      </c>
      <c r="C73" s="35" t="s">
        <v>148</v>
      </c>
      <c r="D73" s="35" t="s">
        <v>525</v>
      </c>
      <c r="F73" s="35" t="s">
        <v>63</v>
      </c>
      <c r="G73" s="35" t="s">
        <v>905</v>
      </c>
    </row>
    <row r="74" spans="1:7">
      <c r="A74" s="2">
        <v>73</v>
      </c>
      <c r="B74" s="34" t="s">
        <v>385</v>
      </c>
      <c r="C74" s="35" t="s">
        <v>149</v>
      </c>
      <c r="D74" s="35" t="s">
        <v>525</v>
      </c>
      <c r="F74" s="35" t="s">
        <v>308</v>
      </c>
      <c r="G74" s="35" t="s">
        <v>905</v>
      </c>
    </row>
    <row r="75" spans="1:7">
      <c r="A75" s="2">
        <v>74</v>
      </c>
      <c r="B75" s="34" t="s">
        <v>385</v>
      </c>
      <c r="C75" s="35" t="s">
        <v>150</v>
      </c>
      <c r="D75" s="35" t="s">
        <v>526</v>
      </c>
      <c r="F75" s="35" t="s">
        <v>309</v>
      </c>
      <c r="G75" s="35" t="s">
        <v>904</v>
      </c>
    </row>
    <row r="76" spans="1:7">
      <c r="A76" s="2">
        <v>75</v>
      </c>
      <c r="B76" s="34" t="s">
        <v>385</v>
      </c>
      <c r="C76" s="35" t="s">
        <v>151</v>
      </c>
      <c r="D76" s="35" t="s">
        <v>525</v>
      </c>
      <c r="F76" s="35" t="s">
        <v>310</v>
      </c>
      <c r="G76" s="35" t="s">
        <v>905</v>
      </c>
    </row>
    <row r="77" spans="1:7">
      <c r="A77" s="2">
        <v>76</v>
      </c>
      <c r="B77" s="34" t="s">
        <v>385</v>
      </c>
      <c r="C77" s="35" t="s">
        <v>152</v>
      </c>
      <c r="D77" s="35" t="s">
        <v>526</v>
      </c>
      <c r="F77" s="35" t="s">
        <v>311</v>
      </c>
      <c r="G77" s="35" t="s">
        <v>904</v>
      </c>
    </row>
    <row r="78" spans="1:7">
      <c r="A78" s="2">
        <v>77</v>
      </c>
      <c r="B78" s="34" t="s">
        <v>385</v>
      </c>
      <c r="C78" s="37" t="s">
        <v>153</v>
      </c>
      <c r="D78" s="35" t="s">
        <v>526</v>
      </c>
      <c r="F78" s="35" t="s">
        <v>312</v>
      </c>
      <c r="G78" s="35" t="s">
        <v>904</v>
      </c>
    </row>
    <row r="79" spans="1:7">
      <c r="A79" s="2">
        <v>78</v>
      </c>
      <c r="B79" s="34" t="s">
        <v>385</v>
      </c>
      <c r="C79" s="35" t="s">
        <v>154</v>
      </c>
      <c r="D79" s="35" t="s">
        <v>526</v>
      </c>
      <c r="F79" s="35" t="s">
        <v>70</v>
      </c>
      <c r="G79" s="35" t="s">
        <v>904</v>
      </c>
    </row>
    <row r="80" spans="1:7">
      <c r="A80" s="2">
        <v>79</v>
      </c>
      <c r="B80" s="34" t="s">
        <v>385</v>
      </c>
      <c r="C80" s="35" t="s">
        <v>185</v>
      </c>
      <c r="D80" s="35" t="s">
        <v>526</v>
      </c>
      <c r="E80" s="35" t="s">
        <v>184</v>
      </c>
      <c r="F80" s="35" t="s">
        <v>112</v>
      </c>
      <c r="G80" s="35" t="s">
        <v>904</v>
      </c>
    </row>
    <row r="81" spans="1:7">
      <c r="A81" s="2">
        <v>80</v>
      </c>
      <c r="B81" s="34" t="s">
        <v>387</v>
      </c>
      <c r="C81" s="35" t="s">
        <v>546</v>
      </c>
      <c r="D81" s="35" t="s">
        <v>526</v>
      </c>
      <c r="E81" s="34" t="s">
        <v>490</v>
      </c>
      <c r="F81" s="35" t="s">
        <v>97</v>
      </c>
      <c r="G81" s="35" t="s">
        <v>904</v>
      </c>
    </row>
    <row r="82" spans="1:7">
      <c r="A82" s="2">
        <v>81</v>
      </c>
      <c r="B82" s="34" t="s">
        <v>387</v>
      </c>
      <c r="C82" s="36" t="s">
        <v>174</v>
      </c>
      <c r="D82" s="35" t="s">
        <v>525</v>
      </c>
      <c r="F82" s="35" t="s">
        <v>94</v>
      </c>
      <c r="G82" s="35" t="s">
        <v>905</v>
      </c>
    </row>
    <row r="83" spans="1:7">
      <c r="A83" s="2">
        <v>82</v>
      </c>
      <c r="B83" s="34" t="s">
        <v>387</v>
      </c>
      <c r="C83" s="36" t="s">
        <v>138</v>
      </c>
      <c r="D83" s="35" t="s">
        <v>526</v>
      </c>
      <c r="F83" s="35" t="s">
        <v>46</v>
      </c>
      <c r="G83" s="35" t="s">
        <v>904</v>
      </c>
    </row>
    <row r="84" spans="1:7">
      <c r="A84" s="2">
        <v>83</v>
      </c>
      <c r="B84" s="34" t="s">
        <v>379</v>
      </c>
      <c r="C84" s="35" t="s">
        <v>546</v>
      </c>
      <c r="D84" s="35" t="s">
        <v>526</v>
      </c>
      <c r="E84" s="34" t="s">
        <v>547</v>
      </c>
      <c r="F84" s="35" t="s">
        <v>99</v>
      </c>
      <c r="G84" s="35" t="s">
        <v>904</v>
      </c>
    </row>
    <row r="85" spans="1:7">
      <c r="A85" s="2">
        <v>84</v>
      </c>
      <c r="B85" s="34" t="s">
        <v>379</v>
      </c>
      <c r="C85" s="35" t="s">
        <v>138</v>
      </c>
      <c r="D85" s="35" t="s">
        <v>526</v>
      </c>
      <c r="E85" s="38"/>
      <c r="F85" s="35" t="s">
        <v>46</v>
      </c>
      <c r="G85" s="35" t="s">
        <v>904</v>
      </c>
    </row>
    <row r="86" spans="1:7">
      <c r="A86" s="2">
        <v>85</v>
      </c>
      <c r="B86" s="34" t="s">
        <v>379</v>
      </c>
      <c r="C86" s="35" t="s">
        <v>139</v>
      </c>
      <c r="D86" s="35" t="s">
        <v>526</v>
      </c>
      <c r="E86" s="38"/>
      <c r="F86" s="35" t="s">
        <v>48</v>
      </c>
      <c r="G86" s="35" t="s">
        <v>904</v>
      </c>
    </row>
    <row r="87" spans="1:7">
      <c r="A87" s="2">
        <v>86</v>
      </c>
      <c r="B87" s="34" t="s">
        <v>388</v>
      </c>
      <c r="C87" s="35" t="s">
        <v>546</v>
      </c>
      <c r="D87" s="35" t="s">
        <v>526</v>
      </c>
      <c r="E87" s="34" t="s">
        <v>549</v>
      </c>
      <c r="F87" s="35" t="s">
        <v>73</v>
      </c>
      <c r="G87" s="35" t="s">
        <v>904</v>
      </c>
    </row>
    <row r="88" spans="1:7">
      <c r="A88" s="2">
        <v>87</v>
      </c>
      <c r="B88" s="34" t="s">
        <v>388</v>
      </c>
      <c r="C88" s="37" t="s">
        <v>155</v>
      </c>
      <c r="D88" s="35" t="s">
        <v>526</v>
      </c>
      <c r="F88" s="35" t="s">
        <v>314</v>
      </c>
      <c r="G88" s="35" t="s">
        <v>904</v>
      </c>
    </row>
    <row r="89" spans="1:7">
      <c r="A89" s="2">
        <v>88</v>
      </c>
      <c r="B89" s="34" t="s">
        <v>388</v>
      </c>
      <c r="C89" s="35" t="s">
        <v>119</v>
      </c>
      <c r="D89" s="35" t="s">
        <v>525</v>
      </c>
      <c r="F89" s="35" t="s">
        <v>294</v>
      </c>
      <c r="G89" s="35" t="s">
        <v>905</v>
      </c>
    </row>
    <row r="90" spans="1:7">
      <c r="A90" s="2">
        <v>89</v>
      </c>
      <c r="B90" s="34" t="s">
        <v>388</v>
      </c>
      <c r="C90" s="35" t="s">
        <v>120</v>
      </c>
      <c r="D90" s="35" t="s">
        <v>526</v>
      </c>
      <c r="F90" s="35" t="s">
        <v>19</v>
      </c>
      <c r="G90" s="35" t="s">
        <v>904</v>
      </c>
    </row>
    <row r="91" spans="1:7">
      <c r="A91" s="2">
        <v>90</v>
      </c>
      <c r="B91" s="34" t="s">
        <v>389</v>
      </c>
      <c r="C91" s="35" t="s">
        <v>546</v>
      </c>
      <c r="D91" s="35" t="s">
        <v>526</v>
      </c>
      <c r="E91" s="35" t="s">
        <v>410</v>
      </c>
      <c r="F91" s="35" t="s">
        <v>75</v>
      </c>
      <c r="G91" s="35" t="s">
        <v>904</v>
      </c>
    </row>
    <row r="92" spans="1:7">
      <c r="A92" s="2">
        <v>91</v>
      </c>
      <c r="B92" s="34" t="s">
        <v>389</v>
      </c>
      <c r="C92" s="35" t="s">
        <v>138</v>
      </c>
      <c r="D92" s="35" t="s">
        <v>526</v>
      </c>
      <c r="F92" s="35" t="s">
        <v>46</v>
      </c>
      <c r="G92" s="35" t="s">
        <v>904</v>
      </c>
    </row>
    <row r="93" spans="1:7">
      <c r="A93" s="2">
        <v>92</v>
      </c>
      <c r="B93" s="34" t="s">
        <v>389</v>
      </c>
      <c r="C93" s="35" t="s">
        <v>156</v>
      </c>
      <c r="D93" s="35" t="s">
        <v>526</v>
      </c>
      <c r="F93" s="35" t="s">
        <v>315</v>
      </c>
      <c r="G93" s="35" t="s">
        <v>904</v>
      </c>
    </row>
    <row r="94" spans="1:7">
      <c r="A94" s="2">
        <v>93</v>
      </c>
      <c r="B94" s="34" t="s">
        <v>389</v>
      </c>
      <c r="C94" s="35" t="s">
        <v>113</v>
      </c>
      <c r="D94" s="35" t="s">
        <v>526</v>
      </c>
      <c r="F94" s="35" t="s">
        <v>5</v>
      </c>
      <c r="G94" s="35" t="s">
        <v>904</v>
      </c>
    </row>
    <row r="95" spans="1:7">
      <c r="A95" s="2">
        <v>94</v>
      </c>
      <c r="B95" s="34" t="s">
        <v>389</v>
      </c>
      <c r="C95" s="35" t="s">
        <v>114</v>
      </c>
      <c r="D95" s="35" t="s">
        <v>526</v>
      </c>
      <c r="F95" s="35" t="s">
        <v>293</v>
      </c>
      <c r="G95" s="35" t="s">
        <v>904</v>
      </c>
    </row>
    <row r="96" spans="1:7">
      <c r="A96" s="2">
        <v>95</v>
      </c>
      <c r="B96" s="34" t="s">
        <v>389</v>
      </c>
      <c r="C96" s="35" t="s">
        <v>115</v>
      </c>
      <c r="D96" s="35" t="s">
        <v>525</v>
      </c>
      <c r="F96" s="35" t="s">
        <v>9</v>
      </c>
      <c r="G96" s="35" t="s">
        <v>905</v>
      </c>
    </row>
    <row r="97" spans="1:7">
      <c r="A97" s="2">
        <v>96</v>
      </c>
      <c r="B97" s="34" t="s">
        <v>389</v>
      </c>
      <c r="C97" s="35" t="s">
        <v>116</v>
      </c>
      <c r="D97" s="35" t="s">
        <v>525</v>
      </c>
      <c r="F97" s="35" t="s">
        <v>11</v>
      </c>
      <c r="G97" s="35" t="s">
        <v>905</v>
      </c>
    </row>
    <row r="98" spans="1:7">
      <c r="A98" s="2">
        <v>97</v>
      </c>
      <c r="B98" s="34" t="s">
        <v>389</v>
      </c>
      <c r="C98" s="35" t="s">
        <v>117</v>
      </c>
      <c r="D98" s="35" t="s">
        <v>525</v>
      </c>
      <c r="F98" s="35" t="s">
        <v>13</v>
      </c>
      <c r="G98" s="35" t="s">
        <v>905</v>
      </c>
    </row>
    <row r="99" spans="1:7">
      <c r="A99" s="2">
        <v>98</v>
      </c>
      <c r="B99" s="34" t="s">
        <v>389</v>
      </c>
      <c r="C99" s="35" t="s">
        <v>118</v>
      </c>
      <c r="D99" s="35" t="s">
        <v>525</v>
      </c>
      <c r="F99" s="35" t="s">
        <v>15</v>
      </c>
      <c r="G99" s="35" t="s">
        <v>905</v>
      </c>
    </row>
    <row r="100" spans="1:7">
      <c r="A100" s="2">
        <v>99</v>
      </c>
      <c r="B100" s="34" t="s">
        <v>389</v>
      </c>
      <c r="C100" s="35" t="s">
        <v>157</v>
      </c>
      <c r="D100" s="35" t="s">
        <v>526</v>
      </c>
      <c r="F100" s="35" t="s">
        <v>53</v>
      </c>
      <c r="G100" s="35" t="s">
        <v>904</v>
      </c>
    </row>
    <row r="101" spans="1:7">
      <c r="A101" s="2">
        <v>100</v>
      </c>
      <c r="B101" s="34" t="s">
        <v>390</v>
      </c>
      <c r="C101" s="35" t="s">
        <v>546</v>
      </c>
      <c r="D101" s="35" t="s">
        <v>526</v>
      </c>
      <c r="E101" s="35" t="s">
        <v>548</v>
      </c>
      <c r="F101" s="35" t="s">
        <v>3</v>
      </c>
      <c r="G101" s="35" t="s">
        <v>904</v>
      </c>
    </row>
    <row r="102" spans="1:7">
      <c r="A102" s="2">
        <v>101</v>
      </c>
      <c r="B102" s="34" t="s">
        <v>390</v>
      </c>
      <c r="C102" s="35" t="s">
        <v>161</v>
      </c>
      <c r="D102" s="35" t="s">
        <v>525</v>
      </c>
      <c r="F102" s="35" t="s">
        <v>317</v>
      </c>
      <c r="G102" s="35" t="s">
        <v>905</v>
      </c>
    </row>
    <row r="103" spans="1:7">
      <c r="A103" s="2">
        <v>102</v>
      </c>
      <c r="B103" s="34" t="s">
        <v>390</v>
      </c>
      <c r="C103" s="35" t="s">
        <v>160</v>
      </c>
      <c r="D103" s="35" t="s">
        <v>525</v>
      </c>
      <c r="F103" s="35" t="s">
        <v>81</v>
      </c>
      <c r="G103" s="35" t="s">
        <v>905</v>
      </c>
    </row>
    <row r="104" spans="1:7">
      <c r="A104" s="2">
        <v>103</v>
      </c>
      <c r="B104" s="34" t="s">
        <v>390</v>
      </c>
      <c r="C104" s="35" t="s">
        <v>163</v>
      </c>
      <c r="D104" s="35" t="s">
        <v>525</v>
      </c>
      <c r="F104" s="35" t="s">
        <v>82</v>
      </c>
      <c r="G104" s="35" t="s">
        <v>905</v>
      </c>
    </row>
    <row r="105" spans="1:7">
      <c r="A105" s="2">
        <v>104</v>
      </c>
      <c r="B105" s="34" t="s">
        <v>390</v>
      </c>
      <c r="C105" s="35" t="s">
        <v>164</v>
      </c>
      <c r="D105" s="35" t="s">
        <v>525</v>
      </c>
      <c r="F105" s="35" t="s">
        <v>83</v>
      </c>
      <c r="G105" s="35" t="s">
        <v>905</v>
      </c>
    </row>
    <row r="106" spans="1:7">
      <c r="A106" s="2">
        <v>105</v>
      </c>
      <c r="B106" s="34" t="s">
        <v>390</v>
      </c>
      <c r="C106" s="35" t="s">
        <v>162</v>
      </c>
      <c r="D106" s="35" t="s">
        <v>525</v>
      </c>
      <c r="F106" s="35" t="s">
        <v>318</v>
      </c>
      <c r="G106" s="35" t="s">
        <v>905</v>
      </c>
    </row>
    <row r="107" spans="1:7">
      <c r="A107" s="2">
        <v>106</v>
      </c>
      <c r="B107" s="34" t="s">
        <v>390</v>
      </c>
      <c r="C107" s="35" t="s">
        <v>165</v>
      </c>
      <c r="D107" s="35" t="s">
        <v>525</v>
      </c>
      <c r="F107" s="35" t="s">
        <v>84</v>
      </c>
      <c r="G107" s="35" t="s">
        <v>905</v>
      </c>
    </row>
    <row r="108" spans="1:7">
      <c r="A108" s="2">
        <v>107</v>
      </c>
      <c r="B108" s="34" t="s">
        <v>390</v>
      </c>
      <c r="C108" s="35" t="s">
        <v>158</v>
      </c>
      <c r="D108" s="35" t="s">
        <v>525</v>
      </c>
      <c r="F108" s="35" t="s">
        <v>299</v>
      </c>
      <c r="G108" s="35" t="s">
        <v>905</v>
      </c>
    </row>
    <row r="109" spans="1:7">
      <c r="A109" s="2">
        <v>108</v>
      </c>
      <c r="B109" s="34" t="s">
        <v>390</v>
      </c>
      <c r="C109" s="35" t="s">
        <v>159</v>
      </c>
      <c r="D109" s="35" t="s">
        <v>525</v>
      </c>
      <c r="F109" s="35" t="s">
        <v>300</v>
      </c>
      <c r="G109" s="35" t="s">
        <v>905</v>
      </c>
    </row>
    <row r="110" spans="1:7">
      <c r="A110" s="2">
        <v>109</v>
      </c>
      <c r="B110" s="34" t="s">
        <v>390</v>
      </c>
      <c r="C110" s="35" t="s">
        <v>157</v>
      </c>
      <c r="D110" s="35" t="s">
        <v>525</v>
      </c>
      <c r="F110" s="35" t="s">
        <v>53</v>
      </c>
      <c r="G110" s="35" t="s">
        <v>905</v>
      </c>
    </row>
  </sheetData>
  <sortState xmlns:xlrd2="http://schemas.microsoft.com/office/spreadsheetml/2017/richdata2" ref="B2:G110">
    <sortCondition ref="B2:B110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E55E8-0E07-4DF2-B5E7-FD52AF577C9E}">
  <sheetPr codeName="Sheet13"/>
  <dimension ref="A1:X33"/>
  <sheetViews>
    <sheetView zoomScale="130" zoomScaleNormal="130" workbookViewId="0">
      <selection activeCell="F43" sqref="F43"/>
    </sheetView>
  </sheetViews>
  <sheetFormatPr defaultRowHeight="15"/>
  <cols>
    <col min="1" max="1" width="12.7109375" style="39" customWidth="1"/>
    <col min="2" max="2" width="12.7109375" style="40" customWidth="1"/>
    <col min="3" max="5" width="12.7109375" style="2" customWidth="1"/>
    <col min="6" max="6" width="13.28515625" customWidth="1"/>
    <col min="8" max="10" width="27.140625" bestFit="1" customWidth="1"/>
    <col min="11" max="11" width="5.42578125" bestFit="1" customWidth="1"/>
    <col min="14" max="14" width="9.140625" style="43"/>
    <col min="15" max="15" width="14.42578125" style="12" bestFit="1" customWidth="1"/>
    <col min="16" max="17" width="9.140625" style="44"/>
    <col min="18" max="18" width="9.140625" style="45" customWidth="1"/>
    <col min="19" max="19" width="10.42578125" style="43" bestFit="1" customWidth="1"/>
    <col min="20" max="20" width="18.7109375" style="12" bestFit="1" customWidth="1"/>
    <col min="21" max="22" width="9.140625" style="44"/>
    <col min="23" max="23" width="9.140625" style="45"/>
    <col min="24" max="24" width="72.7109375" bestFit="1" customWidth="1"/>
  </cols>
  <sheetData>
    <row r="1" spans="1:24">
      <c r="A1" s="21" t="s">
        <v>649</v>
      </c>
      <c r="B1" s="21" t="s">
        <v>207</v>
      </c>
      <c r="C1" s="21" t="s">
        <v>650</v>
      </c>
      <c r="D1" s="21" t="s">
        <v>651</v>
      </c>
      <c r="E1" s="21" t="s">
        <v>652</v>
      </c>
      <c r="F1" s="21" t="s">
        <v>653</v>
      </c>
      <c r="H1" s="42" t="s">
        <v>516</v>
      </c>
      <c r="I1" s="42" t="s">
        <v>687</v>
      </c>
      <c r="J1" s="42" t="s">
        <v>688</v>
      </c>
      <c r="N1" s="46" t="s">
        <v>691</v>
      </c>
      <c r="O1" s="62" t="s">
        <v>514</v>
      </c>
      <c r="P1" s="62"/>
      <c r="Q1" s="62"/>
      <c r="R1" s="63"/>
      <c r="S1" s="46" t="s">
        <v>691</v>
      </c>
      <c r="T1" s="62" t="s">
        <v>514</v>
      </c>
      <c r="U1" s="62"/>
      <c r="V1" s="62"/>
      <c r="W1" s="63"/>
    </row>
    <row r="2" spans="1:24">
      <c r="A2" s="39" t="s">
        <v>368</v>
      </c>
      <c r="B2" s="40" t="s">
        <v>674</v>
      </c>
      <c r="C2" s="2" t="s">
        <v>642</v>
      </c>
      <c r="D2" s="2" t="s">
        <v>643</v>
      </c>
      <c r="E2" s="2" t="s">
        <v>593</v>
      </c>
      <c r="F2" t="str">
        <f>"'"&amp;A2&amp;"' : "&amp;"'"&amp;B2&amp;"',"</f>
        <v>'-' : '-HPM',</v>
      </c>
      <c r="H2" t="s">
        <v>654</v>
      </c>
      <c r="I2" t="str" cm="1">
        <f t="array" ref="I2">toSlug(H2)</f>
        <v>-LCBuser-LOLid-RCB</v>
      </c>
      <c r="J2" t="str" cm="1">
        <f t="array" ref="J2">unSlug(I2)</f>
        <v>{user_id}</v>
      </c>
      <c r="K2" t="b">
        <f>J2=H2</f>
        <v>1</v>
      </c>
      <c r="N2" s="43" t="s">
        <v>331</v>
      </c>
      <c r="O2" s="12" t="s">
        <v>710</v>
      </c>
      <c r="S2" s="43" t="str" cm="1">
        <f t="array" ref="S2">toSlug(N2)</f>
        <v>user-LOLid</v>
      </c>
      <c r="T2" s="12" t="str" cm="1">
        <f t="array" ref="T2">toSlug(O2)</f>
        <v>-NBSM-LSBUser-RSB-LSBid-EQS1-RCB</v>
      </c>
      <c r="U2" s="44" t="str" cm="1">
        <f t="array" ref="U2">toSlug(P2)</f>
        <v/>
      </c>
      <c r="V2" s="44" t="str" cm="1">
        <f t="array" ref="V2">toSlug(Q2)</f>
        <v/>
      </c>
      <c r="W2" s="45" t="str" cm="1">
        <f t="array" ref="W2">toSlug(R2)</f>
        <v/>
      </c>
      <c r="X2" t="str">
        <f>"?"&amp;S2&amp;"="&amp;T2</f>
        <v>?user-LOLid=-NBSM-LSBUser-RSB-LSBid-EQS1-RCB</v>
      </c>
    </row>
    <row r="3" spans="1:24">
      <c r="A3" s="39" t="s">
        <v>562</v>
      </c>
      <c r="B3" s="40" t="s">
        <v>655</v>
      </c>
      <c r="C3" s="2" t="s">
        <v>603</v>
      </c>
      <c r="D3" s="2" t="s">
        <v>604</v>
      </c>
      <c r="E3" s="2" t="s">
        <v>605</v>
      </c>
      <c r="F3" t="str">
        <f>"'"&amp;A3&amp;"' : "&amp;"'"&amp;B3&amp;"',"</f>
        <v>'&amp;' : '-AMS',</v>
      </c>
      <c r="N3" s="43" t="s">
        <v>396</v>
      </c>
      <c r="O3" s="12" t="s">
        <v>692</v>
      </c>
      <c r="S3" s="43" t="str" cm="1">
        <f t="array" ref="S3">toSlug(N3)</f>
        <v>pk</v>
      </c>
      <c r="T3" s="12" t="str" cm="1">
        <f t="array" ref="T3">toSlug(O3)</f>
        <v>-LCBcur-LOLuser-FSTpk-RCB</v>
      </c>
      <c r="U3" s="44" t="str" cm="1">
        <f t="array" ref="U3">toSlug(P3)</f>
        <v/>
      </c>
      <c r="V3" s="44" t="str" cm="1">
        <f t="array" ref="V3">toSlug(Q3)</f>
        <v/>
      </c>
      <c r="W3" s="45" t="str" cm="1">
        <f t="array" ref="W3">toSlug(R3)</f>
        <v/>
      </c>
      <c r="X3" t="str">
        <f>X2&amp;";"&amp;S3&amp;"="&amp;T3</f>
        <v>?user-LOLid=-NBSM-LSBUser-RSB-LSBid-EQS1-RCB;pk=-LCBcur-LOLuser-FSTpk-RCB</v>
      </c>
    </row>
    <row r="4" spans="1:24">
      <c r="A4" s="39" t="s">
        <v>563</v>
      </c>
      <c r="B4" s="40" t="s">
        <v>656</v>
      </c>
      <c r="C4" s="2" t="s">
        <v>603</v>
      </c>
      <c r="D4" s="2" t="s">
        <v>606</v>
      </c>
      <c r="E4" s="2" t="s">
        <v>607</v>
      </c>
      <c r="F4" t="str">
        <f t="shared" ref="F4:F33" si="0">"'"&amp;A4&amp;"' : "&amp;"'"&amp;B4&amp;"',"</f>
        <v>'*' : '-ASR',</v>
      </c>
      <c r="H4" s="42" t="s">
        <v>689</v>
      </c>
      <c r="I4" s="42" t="s">
        <v>688</v>
      </c>
      <c r="J4" s="42" t="s">
        <v>687</v>
      </c>
      <c r="N4" s="43" t="s">
        <v>693</v>
      </c>
      <c r="O4" s="12" t="s">
        <v>694</v>
      </c>
      <c r="P4" s="44" t="s">
        <v>695</v>
      </c>
      <c r="S4" s="43" t="str" cm="1">
        <f t="array" ref="S4">toSlug(N4)</f>
        <v>pos</v>
      </c>
      <c r="T4" s="12" t="str" cm="1">
        <f t="array" ref="T4">toSlug(O4)</f>
        <v>-LCBx-RCB</v>
      </c>
      <c r="U4" s="44" t="str" cm="1">
        <f t="array" ref="U4">toSlug(P4)</f>
        <v>-LCBy-RCB</v>
      </c>
      <c r="V4" s="44" t="str" cm="1">
        <f t="array" ref="V4">toSlug(Q4)</f>
        <v/>
      </c>
      <c r="W4" s="45" t="str" cm="1">
        <f t="array" ref="W4">toSlug(R4)</f>
        <v/>
      </c>
      <c r="X4" t="str">
        <f>X3&amp;";"&amp;S4&amp;"="&amp;T4</f>
        <v>?user-LOLid=-NBSM-LSBUser-RSB-LSBid-EQS1-RCB;pk=-LCBcur-LOLuser-FSTpk-RCB;pos=-LCBx-RCB</v>
      </c>
    </row>
    <row r="5" spans="1:24">
      <c r="A5" s="41" t="s">
        <v>576</v>
      </c>
      <c r="B5" s="40" t="s">
        <v>657</v>
      </c>
      <c r="C5" s="2" t="s">
        <v>603</v>
      </c>
      <c r="D5" s="2" t="s">
        <v>608</v>
      </c>
      <c r="E5" s="2" t="s">
        <v>609</v>
      </c>
      <c r="F5" t="str">
        <f t="shared" si="0"/>
        <v>''' : '-APT',</v>
      </c>
      <c r="H5" t="s">
        <v>690</v>
      </c>
      <c r="I5" t="str" cm="1">
        <f t="array" ref="I5">unSlug(H5)</f>
        <v>{user_id}</v>
      </c>
      <c r="J5" t="str" cm="1">
        <f t="array" ref="J5">toSlug(I5)</f>
        <v>-LCBuser-LOLid-RCB</v>
      </c>
      <c r="K5" t="b">
        <f>J5=H5</f>
        <v>1</v>
      </c>
    </row>
    <row r="6" spans="1:24">
      <c r="A6" s="39" t="s">
        <v>557</v>
      </c>
      <c r="B6" s="40" t="s">
        <v>658</v>
      </c>
      <c r="C6" s="2" t="s">
        <v>620</v>
      </c>
      <c r="D6" s="2" t="s">
        <v>619</v>
      </c>
      <c r="E6" s="2" t="s">
        <v>587</v>
      </c>
      <c r="F6" t="str">
        <f t="shared" si="0"/>
        <v>'@' : '-CCA',</v>
      </c>
      <c r="H6" s="33"/>
    </row>
    <row r="7" spans="1:24">
      <c r="A7" s="39" t="s">
        <v>560</v>
      </c>
      <c r="B7" s="40" t="s">
        <v>659</v>
      </c>
      <c r="C7" s="2" t="s">
        <v>610</v>
      </c>
      <c r="D7" s="2" t="s">
        <v>611</v>
      </c>
      <c r="E7" s="2" t="s">
        <v>588</v>
      </c>
      <c r="F7" t="str">
        <f t="shared" si="0"/>
        <v>'%' : '-PCS',</v>
      </c>
    </row>
    <row r="8" spans="1:24">
      <c r="A8" s="39" t="s">
        <v>561</v>
      </c>
      <c r="B8" s="40" t="s">
        <v>660</v>
      </c>
      <c r="C8" s="2" t="s">
        <v>637</v>
      </c>
      <c r="D8" s="2" t="s">
        <v>638</v>
      </c>
      <c r="E8" s="2" t="s">
        <v>585</v>
      </c>
      <c r="F8" t="str">
        <f t="shared" si="0"/>
        <v>'^' : '-CFA',</v>
      </c>
      <c r="H8" s="33"/>
    </row>
    <row r="9" spans="1:24">
      <c r="A9" s="39" t="s">
        <v>567</v>
      </c>
      <c r="B9" s="40" t="s">
        <v>661</v>
      </c>
      <c r="C9" s="2" t="s">
        <v>592</v>
      </c>
      <c r="D9" s="2" t="s">
        <v>639</v>
      </c>
      <c r="E9" s="2" t="s">
        <v>588</v>
      </c>
      <c r="F9" t="str">
        <f t="shared" si="0"/>
        <v>'+' : '-PLS',</v>
      </c>
    </row>
    <row r="10" spans="1:24">
      <c r="A10" s="39" t="s">
        <v>577</v>
      </c>
      <c r="B10" s="40" t="s">
        <v>662</v>
      </c>
      <c r="C10" s="2" t="s">
        <v>612</v>
      </c>
      <c r="D10" s="2" t="s">
        <v>613</v>
      </c>
      <c r="E10" s="2" t="s">
        <v>515</v>
      </c>
      <c r="F10" t="str">
        <f t="shared" si="0"/>
        <v>':' : '-CLN',</v>
      </c>
    </row>
    <row r="11" spans="1:24">
      <c r="A11" s="39" t="s">
        <v>582</v>
      </c>
      <c r="B11" s="40" t="s">
        <v>663</v>
      </c>
      <c r="C11" s="2" t="s">
        <v>614</v>
      </c>
      <c r="D11" s="2" t="s">
        <v>615</v>
      </c>
      <c r="E11" s="2" t="s">
        <v>586</v>
      </c>
      <c r="F11" t="str">
        <f t="shared" si="0"/>
        <v>'"' : '-QTM',</v>
      </c>
    </row>
    <row r="12" spans="1:24">
      <c r="A12" s="39" t="s">
        <v>573</v>
      </c>
      <c r="B12" s="40" t="s">
        <v>664</v>
      </c>
      <c r="C12" s="2" t="s">
        <v>616</v>
      </c>
      <c r="D12" s="2" t="s">
        <v>617</v>
      </c>
      <c r="E12" s="2" t="s">
        <v>586</v>
      </c>
      <c r="F12" t="str">
        <f t="shared" si="0"/>
        <v>'?' : '-QSM',</v>
      </c>
    </row>
    <row r="13" spans="1:24">
      <c r="A13" s="39" t="s">
        <v>583</v>
      </c>
      <c r="B13" s="40" t="s">
        <v>665</v>
      </c>
      <c r="C13" s="2" t="s">
        <v>612</v>
      </c>
      <c r="D13" s="2" t="s">
        <v>618</v>
      </c>
      <c r="E13" s="2" t="s">
        <v>603</v>
      </c>
      <c r="F13" t="str">
        <f t="shared" si="0"/>
        <v>',' : '-CMA',</v>
      </c>
    </row>
    <row r="14" spans="1:24">
      <c r="A14" s="39" t="s">
        <v>554</v>
      </c>
      <c r="B14" s="40" t="s">
        <v>666</v>
      </c>
      <c r="C14" s="2" t="s">
        <v>584</v>
      </c>
      <c r="D14" s="2" t="s">
        <v>640</v>
      </c>
      <c r="E14" s="2" t="s">
        <v>611</v>
      </c>
      <c r="F14" t="str">
        <f t="shared" si="0"/>
        <v>'`' : '-GAC',</v>
      </c>
    </row>
    <row r="15" spans="1:24">
      <c r="A15" s="39" t="s">
        <v>555</v>
      </c>
      <c r="B15" s="40" t="s">
        <v>667</v>
      </c>
      <c r="C15" s="2" t="s">
        <v>621</v>
      </c>
      <c r="D15" s="2" t="s">
        <v>622</v>
      </c>
      <c r="E15" s="2" t="s">
        <v>623</v>
      </c>
      <c r="F15" t="str">
        <f t="shared" si="0"/>
        <v>'~' : '-TLD',</v>
      </c>
    </row>
    <row r="16" spans="1:24">
      <c r="A16" s="39" t="s">
        <v>556</v>
      </c>
      <c r="B16" s="40" t="s">
        <v>668</v>
      </c>
      <c r="C16" s="2" t="s">
        <v>624</v>
      </c>
      <c r="D16" s="2" t="s">
        <v>625</v>
      </c>
      <c r="E16" s="2" t="s">
        <v>586</v>
      </c>
      <c r="F16" t="str">
        <f t="shared" si="0"/>
        <v>'!' : '-EXM',</v>
      </c>
    </row>
    <row r="17" spans="1:6">
      <c r="A17" s="39" t="s">
        <v>558</v>
      </c>
      <c r="B17" s="40" t="s">
        <v>669</v>
      </c>
      <c r="C17" s="2" t="s">
        <v>626</v>
      </c>
      <c r="D17" s="2" t="s">
        <v>627</v>
      </c>
      <c r="E17" s="2" t="s">
        <v>588</v>
      </c>
      <c r="F17" t="str">
        <f t="shared" si="0"/>
        <v>'#' : '-NBS',</v>
      </c>
    </row>
    <row r="18" spans="1:6">
      <c r="A18" s="39" t="s">
        <v>559</v>
      </c>
      <c r="B18" s="40" t="s">
        <v>670</v>
      </c>
      <c r="C18" s="2" t="s">
        <v>628</v>
      </c>
      <c r="D18" s="2" t="s">
        <v>629</v>
      </c>
      <c r="E18" s="2" t="s">
        <v>588</v>
      </c>
      <c r="F18" t="str">
        <f t="shared" si="0"/>
        <v>'$' : '-DLS',</v>
      </c>
    </row>
    <row r="19" spans="1:6">
      <c r="A19" s="39" t="s">
        <v>564</v>
      </c>
      <c r="B19" s="40" t="s">
        <v>671</v>
      </c>
      <c r="C19" s="2" t="s">
        <v>589</v>
      </c>
      <c r="D19" s="2" t="s">
        <v>630</v>
      </c>
      <c r="E19" s="2" t="s">
        <v>631</v>
      </c>
      <c r="F19" t="str">
        <f t="shared" si="0"/>
        <v>'(' : '-LPT',</v>
      </c>
    </row>
    <row r="20" spans="1:6">
      <c r="A20" s="39" t="s">
        <v>565</v>
      </c>
      <c r="B20" s="40" t="s">
        <v>672</v>
      </c>
      <c r="C20" s="2" t="s">
        <v>590</v>
      </c>
      <c r="D20" s="2" t="s">
        <v>630</v>
      </c>
      <c r="E20" s="2" t="s">
        <v>631</v>
      </c>
      <c r="F20" t="str">
        <f t="shared" si="0"/>
        <v>')' : '-RPT',</v>
      </c>
    </row>
    <row r="21" spans="1:6">
      <c r="A21" s="39" t="s">
        <v>566</v>
      </c>
      <c r="B21" s="40" t="s">
        <v>673</v>
      </c>
      <c r="C21" s="2" t="s">
        <v>622</v>
      </c>
      <c r="D21" s="2" t="s">
        <v>641</v>
      </c>
      <c r="E21" s="2" t="s">
        <v>591</v>
      </c>
      <c r="F21" t="str">
        <f t="shared" si="0"/>
        <v>'_' : '-LOL',</v>
      </c>
    </row>
    <row r="22" spans="1:6">
      <c r="A22" s="39" t="s">
        <v>568</v>
      </c>
      <c r="B22" s="40" t="s">
        <v>675</v>
      </c>
      <c r="C22" s="2" t="s">
        <v>624</v>
      </c>
      <c r="D22" s="2" t="s">
        <v>644</v>
      </c>
      <c r="E22" s="2" t="s">
        <v>588</v>
      </c>
      <c r="F22" t="str">
        <f t="shared" si="0"/>
        <v>'=' : '-EQS',</v>
      </c>
    </row>
    <row r="23" spans="1:6">
      <c r="A23" s="39" t="s">
        <v>553</v>
      </c>
      <c r="B23" s="40" t="s">
        <v>676</v>
      </c>
      <c r="C23" s="2" t="s">
        <v>589</v>
      </c>
      <c r="D23" s="2" t="s">
        <v>594</v>
      </c>
      <c r="E23" s="2" t="s">
        <v>595</v>
      </c>
      <c r="F23" t="str">
        <f t="shared" si="0"/>
        <v>'{' : '-LCB',</v>
      </c>
    </row>
    <row r="24" spans="1:6">
      <c r="A24" s="39" t="s">
        <v>569</v>
      </c>
      <c r="B24" s="40" t="s">
        <v>677</v>
      </c>
      <c r="C24" s="2" t="s">
        <v>590</v>
      </c>
      <c r="D24" s="2" t="s">
        <v>594</v>
      </c>
      <c r="E24" s="2" t="s">
        <v>595</v>
      </c>
      <c r="F24" t="str">
        <f t="shared" si="0"/>
        <v>'}' : '-RCB',</v>
      </c>
    </row>
    <row r="25" spans="1:6">
      <c r="A25" s="39" t="s">
        <v>579</v>
      </c>
      <c r="B25" s="40" t="s">
        <v>678</v>
      </c>
      <c r="C25" s="2" t="s">
        <v>645</v>
      </c>
      <c r="D25" s="2" t="s">
        <v>646</v>
      </c>
      <c r="E25" s="2" t="s">
        <v>591</v>
      </c>
      <c r="F25" t="str">
        <f t="shared" si="0"/>
        <v>'|' : '-VTL',</v>
      </c>
    </row>
    <row r="26" spans="1:6">
      <c r="A26" s="39" t="s">
        <v>580</v>
      </c>
      <c r="B26" s="40" t="s">
        <v>679</v>
      </c>
      <c r="C26" s="2" t="s">
        <v>589</v>
      </c>
      <c r="D26" s="2" t="s">
        <v>596</v>
      </c>
      <c r="E26" s="2" t="s">
        <v>595</v>
      </c>
      <c r="F26" t="str">
        <f t="shared" si="0"/>
        <v>'[' : '-LSB',</v>
      </c>
    </row>
    <row r="27" spans="1:6">
      <c r="A27" s="39" t="s">
        <v>581</v>
      </c>
      <c r="B27" s="40" t="s">
        <v>680</v>
      </c>
      <c r="C27" s="2" t="s">
        <v>590</v>
      </c>
      <c r="D27" s="2" t="s">
        <v>596</v>
      </c>
      <c r="E27" s="2" t="s">
        <v>595</v>
      </c>
      <c r="F27" t="str">
        <f t="shared" si="0"/>
        <v>']' : '-RSB',</v>
      </c>
    </row>
    <row r="28" spans="1:6">
      <c r="A28" s="39" t="s">
        <v>578</v>
      </c>
      <c r="B28" s="40" t="s">
        <v>681</v>
      </c>
      <c r="C28" s="2" t="s">
        <v>597</v>
      </c>
      <c r="D28" s="2" t="s">
        <v>647</v>
      </c>
      <c r="E28" s="2" t="s">
        <v>632</v>
      </c>
      <c r="F28" t="str">
        <f t="shared" si="0"/>
        <v>'\' : '-RSD',</v>
      </c>
    </row>
    <row r="29" spans="1:6">
      <c r="A29" s="39" t="s">
        <v>570</v>
      </c>
      <c r="B29" s="40" t="s">
        <v>682</v>
      </c>
      <c r="C29" s="2" t="s">
        <v>598</v>
      </c>
      <c r="D29" s="2" t="s">
        <v>648</v>
      </c>
      <c r="E29" s="2" t="s">
        <v>515</v>
      </c>
      <c r="F29" t="str">
        <f t="shared" si="0"/>
        <v>';' : '-SCN',</v>
      </c>
    </row>
    <row r="30" spans="1:6">
      <c r="A30" s="39" t="s">
        <v>571</v>
      </c>
      <c r="B30" s="40" t="s">
        <v>683</v>
      </c>
      <c r="C30" s="2" t="s">
        <v>599</v>
      </c>
      <c r="D30" s="2" t="s">
        <v>600</v>
      </c>
      <c r="E30" s="2" t="s">
        <v>588</v>
      </c>
      <c r="F30" t="str">
        <f t="shared" si="0"/>
        <v>'&lt;' : '-LTS',</v>
      </c>
    </row>
    <row r="31" spans="1:6">
      <c r="A31" s="39" t="s">
        <v>572</v>
      </c>
      <c r="B31" s="40" t="s">
        <v>684</v>
      </c>
      <c r="C31" s="2" t="s">
        <v>601</v>
      </c>
      <c r="D31" s="2" t="s">
        <v>600</v>
      </c>
      <c r="E31" s="2" t="s">
        <v>588</v>
      </c>
      <c r="F31" t="str">
        <f t="shared" si="0"/>
        <v>'&gt;' : '-GTS',</v>
      </c>
    </row>
    <row r="32" spans="1:6">
      <c r="A32" s="39" t="s">
        <v>574</v>
      </c>
      <c r="B32" s="40" t="s">
        <v>685</v>
      </c>
      <c r="C32" s="2" t="s">
        <v>602</v>
      </c>
      <c r="D32" s="2" t="s">
        <v>636</v>
      </c>
      <c r="E32" s="2" t="s">
        <v>633</v>
      </c>
      <c r="F32" t="str">
        <f t="shared" si="0"/>
        <v>'.' : '-FST',</v>
      </c>
    </row>
    <row r="33" spans="1:6">
      <c r="A33" s="39" t="s">
        <v>575</v>
      </c>
      <c r="B33" s="40" t="s">
        <v>686</v>
      </c>
      <c r="C33" s="2" t="s">
        <v>634</v>
      </c>
      <c r="D33" s="2" t="s">
        <v>635</v>
      </c>
      <c r="E33" s="2" t="s">
        <v>632</v>
      </c>
      <c r="F33" t="str">
        <f t="shared" si="0"/>
        <v>'/' : '-SLD',</v>
      </c>
    </row>
  </sheetData>
  <mergeCells count="2">
    <mergeCell ref="O1:R1"/>
    <mergeCell ref="T1:W1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D3109-AFDB-47EC-854B-B9D74FCBDEF6}">
  <sheetPr codeName="Sheet17"/>
  <dimension ref="A1:D13"/>
  <sheetViews>
    <sheetView zoomScale="130" zoomScaleNormal="130" workbookViewId="0">
      <selection sqref="A1:C1"/>
    </sheetView>
  </sheetViews>
  <sheetFormatPr defaultRowHeight="15"/>
  <cols>
    <col min="1" max="1" width="9.5703125" bestFit="1" customWidth="1"/>
    <col min="2" max="2" width="36.7109375" bestFit="1" customWidth="1"/>
  </cols>
  <sheetData>
    <row r="1" spans="1:4">
      <c r="A1" s="21" t="s">
        <v>207</v>
      </c>
      <c r="B1" s="21" t="s">
        <v>705</v>
      </c>
      <c r="C1" s="21" t="s">
        <v>721</v>
      </c>
    </row>
    <row r="2" spans="1:4">
      <c r="A2" t="s">
        <v>711</v>
      </c>
      <c r="B2" t="s">
        <v>697</v>
      </c>
      <c r="C2" t="s">
        <v>696</v>
      </c>
      <c r="D2" t="s">
        <v>696</v>
      </c>
    </row>
    <row r="3" spans="1:4">
      <c r="A3" t="s">
        <v>712</v>
      </c>
      <c r="B3" t="s">
        <v>706</v>
      </c>
      <c r="C3" t="s">
        <v>696</v>
      </c>
      <c r="D3" t="s">
        <v>696</v>
      </c>
    </row>
    <row r="4" spans="1:4">
      <c r="A4" t="s">
        <v>713</v>
      </c>
      <c r="B4" t="s">
        <v>707</v>
      </c>
      <c r="C4" t="s">
        <v>696</v>
      </c>
      <c r="D4" t="s">
        <v>696</v>
      </c>
    </row>
    <row r="5" spans="1:4">
      <c r="A5" t="s">
        <v>714</v>
      </c>
      <c r="B5" t="s">
        <v>708</v>
      </c>
      <c r="C5" t="s">
        <v>696</v>
      </c>
      <c r="D5" t="s">
        <v>696</v>
      </c>
    </row>
    <row r="6" spans="1:4">
      <c r="A6" t="s">
        <v>714</v>
      </c>
      <c r="B6" t="s">
        <v>709</v>
      </c>
    </row>
    <row r="7" spans="1:4">
      <c r="A7" t="s">
        <v>715</v>
      </c>
      <c r="B7" t="s">
        <v>698</v>
      </c>
    </row>
    <row r="8" spans="1:4">
      <c r="A8" t="s">
        <v>716</v>
      </c>
      <c r="B8" t="s">
        <v>699</v>
      </c>
    </row>
    <row r="9" spans="1:4">
      <c r="A9" t="s">
        <v>717</v>
      </c>
      <c r="B9" t="s">
        <v>700</v>
      </c>
    </row>
    <row r="10" spans="1:4">
      <c r="A10" t="s">
        <v>718</v>
      </c>
      <c r="B10" t="s">
        <v>701</v>
      </c>
    </row>
    <row r="11" spans="1:4">
      <c r="A11" t="s">
        <v>715</v>
      </c>
      <c r="B11" t="s">
        <v>702</v>
      </c>
    </row>
    <row r="12" spans="1:4">
      <c r="A12" t="s">
        <v>719</v>
      </c>
      <c r="B12" t="s">
        <v>704</v>
      </c>
    </row>
    <row r="13" spans="1:4">
      <c r="A13" t="s">
        <v>720</v>
      </c>
      <c r="B13" t="s">
        <v>703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59928-1753-4C9B-9D9D-E1AF512F12AE}">
  <sheetPr codeName="Sheet1"/>
  <dimension ref="A1:AM203"/>
  <sheetViews>
    <sheetView zoomScale="130" zoomScaleNormal="130" workbookViewId="0">
      <pane ySplit="2" topLeftCell="A3" activePane="bottomLeft" state="frozen"/>
      <selection activeCell="B42" sqref="B42"/>
      <selection pane="bottomLeft" activeCell="C75" sqref="C75"/>
    </sheetView>
  </sheetViews>
  <sheetFormatPr defaultRowHeight="15"/>
  <cols>
    <col min="1" max="1" width="13.5703125" style="5" bestFit="1" customWidth="1"/>
    <col min="2" max="2" width="20.5703125" style="5" bestFit="1" customWidth="1"/>
    <col min="3" max="3" width="17.7109375" style="5" bestFit="1" customWidth="1"/>
    <col min="4" max="4" width="22.5703125" style="5" bestFit="1" customWidth="1"/>
    <col min="5" max="5" width="11.7109375" style="8" bestFit="1" customWidth="1"/>
    <col min="6" max="6" width="2" bestFit="1" customWidth="1"/>
    <col min="7" max="7" width="2" style="10" bestFit="1" customWidth="1"/>
    <col min="8" max="8" width="16.7109375" style="12" bestFit="1" customWidth="1"/>
    <col min="9" max="9" width="12" bestFit="1" customWidth="1"/>
    <col min="10" max="10" width="11.42578125" bestFit="1" customWidth="1"/>
    <col min="11" max="11" width="5.85546875" bestFit="1" customWidth="1"/>
    <col min="12" max="12" width="10.5703125" bestFit="1" customWidth="1"/>
    <col min="13" max="13" width="5" bestFit="1" customWidth="1"/>
    <col min="14" max="14" width="10.42578125" customWidth="1"/>
    <col min="15" max="15" width="10.5703125" bestFit="1" customWidth="1"/>
    <col min="16" max="16" width="14.7109375" bestFit="1" customWidth="1"/>
    <col min="17" max="18" width="24.28515625" bestFit="1" customWidth="1"/>
    <col min="19" max="19" width="17.28515625" style="10" bestFit="1" customWidth="1"/>
    <col min="20" max="20" width="3.140625" customWidth="1"/>
    <col min="21" max="21" width="98.7109375" customWidth="1"/>
    <col min="22" max="22" width="3.140625" customWidth="1"/>
    <col min="23" max="23" width="17.7109375" style="32" bestFit="1" customWidth="1"/>
    <col min="24" max="24" width="22.5703125" style="32" bestFit="1" customWidth="1"/>
    <col min="25" max="25" width="13.5703125" style="31" bestFit="1" customWidth="1"/>
    <col min="26" max="27" width="2" style="32" bestFit="1" customWidth="1"/>
    <col min="28" max="28" width="16.7109375" style="32" bestFit="1" customWidth="1"/>
    <col min="29" max="29" width="12" style="32" bestFit="1" customWidth="1"/>
    <col min="30" max="30" width="11.42578125" style="32" bestFit="1" customWidth="1"/>
    <col min="31" max="31" width="5.85546875" style="32" bestFit="1" customWidth="1"/>
    <col min="32" max="32" width="21" style="32" bestFit="1" customWidth="1"/>
    <col min="33" max="33" width="5.5703125" style="32" bestFit="1" customWidth="1"/>
    <col min="34" max="34" width="10.42578125" style="32" bestFit="1" customWidth="1"/>
    <col min="35" max="35" width="10.5703125" style="32" bestFit="1" customWidth="1"/>
    <col min="36" max="36" width="14.7109375" style="32" bestFit="1" customWidth="1"/>
    <col min="37" max="37" width="24.28515625" style="32" bestFit="1" customWidth="1"/>
    <col min="38" max="38" width="17.28515625" style="32" bestFit="1" customWidth="1"/>
    <col min="39" max="39" width="6.7109375" style="32" bestFit="1" customWidth="1"/>
  </cols>
  <sheetData>
    <row r="1" spans="1:39">
      <c r="A1" s="13"/>
      <c r="B1" s="66" t="s">
        <v>45</v>
      </c>
      <c r="C1" s="68" t="s">
        <v>211</v>
      </c>
      <c r="D1" s="68" t="s">
        <v>186</v>
      </c>
      <c r="E1" s="65" t="s">
        <v>187</v>
      </c>
      <c r="F1" s="65"/>
      <c r="G1" s="65"/>
      <c r="H1" s="71" t="s">
        <v>188</v>
      </c>
      <c r="I1" s="72"/>
      <c r="J1" s="72"/>
      <c r="K1" s="72"/>
      <c r="L1" s="72"/>
      <c r="M1" s="72"/>
      <c r="N1" s="72"/>
      <c r="O1" s="72"/>
      <c r="P1" s="72"/>
      <c r="Q1" s="72"/>
      <c r="R1" s="72"/>
      <c r="S1" s="73"/>
      <c r="T1" t="s">
        <v>206</v>
      </c>
      <c r="V1" t="s">
        <v>206</v>
      </c>
      <c r="W1" s="70" t="s">
        <v>211</v>
      </c>
      <c r="X1" s="70" t="s">
        <v>186</v>
      </c>
      <c r="Y1" s="64" t="s">
        <v>187</v>
      </c>
      <c r="Z1" s="64"/>
      <c r="AA1" s="64"/>
      <c r="AB1" s="64" t="s">
        <v>188</v>
      </c>
      <c r="AC1" s="64"/>
      <c r="AD1" s="64"/>
      <c r="AE1" s="64"/>
      <c r="AF1" s="64"/>
      <c r="AG1" s="64"/>
      <c r="AH1" s="64"/>
      <c r="AI1" s="64"/>
      <c r="AJ1" s="64"/>
      <c r="AK1" s="64"/>
      <c r="AL1" s="23"/>
      <c r="AM1" s="23"/>
    </row>
    <row r="2" spans="1:39" ht="15.75" thickBot="1">
      <c r="A2" s="14" t="s">
        <v>0</v>
      </c>
      <c r="B2" s="67"/>
      <c r="C2" s="69"/>
      <c r="D2" s="69"/>
      <c r="E2" s="15">
        <v>0</v>
      </c>
      <c r="F2" s="16">
        <v>1</v>
      </c>
      <c r="G2" s="16">
        <v>2</v>
      </c>
      <c r="H2" s="16" t="s">
        <v>201</v>
      </c>
      <c r="I2" s="16" t="s">
        <v>202</v>
      </c>
      <c r="J2" s="16" t="s">
        <v>191</v>
      </c>
      <c r="K2" s="16" t="s">
        <v>193</v>
      </c>
      <c r="L2" s="16" t="s">
        <v>203</v>
      </c>
      <c r="M2" s="16" t="s">
        <v>195</v>
      </c>
      <c r="N2" s="16" t="s">
        <v>200</v>
      </c>
      <c r="O2" s="16" t="s">
        <v>198</v>
      </c>
      <c r="P2" s="16" t="s">
        <v>204</v>
      </c>
      <c r="Q2" s="17" t="s">
        <v>230</v>
      </c>
      <c r="R2" s="17" t="s">
        <v>238</v>
      </c>
      <c r="S2" s="18" t="s">
        <v>541</v>
      </c>
      <c r="T2" t="s">
        <v>206</v>
      </c>
      <c r="U2" s="3" t="s">
        <v>207</v>
      </c>
      <c r="V2" t="s">
        <v>206</v>
      </c>
      <c r="W2" s="70"/>
      <c r="X2" s="70"/>
      <c r="Y2" s="24">
        <v>0</v>
      </c>
      <c r="Z2" s="22">
        <v>1</v>
      </c>
      <c r="AA2" s="22">
        <v>2</v>
      </c>
      <c r="AB2" s="22" t="s">
        <v>201</v>
      </c>
      <c r="AC2" s="22" t="s">
        <v>202</v>
      </c>
      <c r="AD2" s="22" t="s">
        <v>191</v>
      </c>
      <c r="AE2" s="22" t="s">
        <v>193</v>
      </c>
      <c r="AF2" s="22" t="s">
        <v>203</v>
      </c>
      <c r="AG2" s="22" t="s">
        <v>195</v>
      </c>
      <c r="AH2" s="22" t="s">
        <v>200</v>
      </c>
      <c r="AI2" s="22" t="s">
        <v>198</v>
      </c>
      <c r="AJ2" s="22" t="s">
        <v>204</v>
      </c>
      <c r="AK2" s="22" t="s">
        <v>230</v>
      </c>
      <c r="AL2" s="22" t="s">
        <v>238</v>
      </c>
      <c r="AM2" s="22" t="s">
        <v>541</v>
      </c>
    </row>
    <row r="3" spans="1:39">
      <c r="A3" s="4" t="s">
        <v>333</v>
      </c>
      <c r="B3" s="6" t="s">
        <v>404</v>
      </c>
      <c r="C3" s="6" t="s">
        <v>210</v>
      </c>
      <c r="D3" s="6" t="str">
        <f t="array" ref="D3:S3" ca="1">IF(ISBLANK(VLOOKUP(C3,$W$3:$AM$105,COLUMN(OFFSET($B$1,0,0,1,16)),FALSE)),"",VLOOKUP(C3,$W$3:$AM$105,COLUMN(OFFSET($B$1,0,0,1,16)),FALSE))</f>
        <v>models.OneToOneField</v>
      </c>
      <c r="E3" s="8" t="str">
        <f ca="1"/>
        <v>User</v>
      </c>
      <c r="F3" s="2" t="str">
        <f ca="1"/>
        <v/>
      </c>
      <c r="G3" s="9" t="str">
        <f ca="1"/>
        <v/>
      </c>
      <c r="H3" s="11" t="str">
        <f ca="1"/>
        <v>models.CASCADE</v>
      </c>
      <c r="I3" s="2" t="str">
        <f ca="1"/>
        <v>True</v>
      </c>
      <c r="J3" s="2" t="str">
        <f ca="1"/>
        <v/>
      </c>
      <c r="K3" s="2" t="str">
        <f ca="1"/>
        <v/>
      </c>
      <c r="L3" s="2" t="str">
        <f ca="1"/>
        <v/>
      </c>
      <c r="M3" s="2" t="str">
        <f ca="1"/>
        <v/>
      </c>
      <c r="N3" s="2" t="str">
        <f ca="1"/>
        <v/>
      </c>
      <c r="O3" s="2" t="str">
        <f ca="1"/>
        <v/>
      </c>
      <c r="P3" s="2" t="str">
        <f ca="1"/>
        <v/>
      </c>
      <c r="Q3" s="2" t="str">
        <f ca="1"/>
        <v/>
      </c>
      <c r="R3" s="2" t="str">
        <f ca="1"/>
        <v/>
      </c>
      <c r="S3" s="9" t="str">
        <f ca="1"/>
        <v/>
      </c>
      <c r="T3" t="s">
        <v>206</v>
      </c>
      <c r="U3" t="str" cm="1">
        <f t="array" aca="1" ref="U3" ca="1">B3&amp;" = "&amp;D3&amp;"("&amp;_xlfn.TEXTJOIN(", ",TRUE,_xlfn.TEXTJOIN(", ",TRUE,E3:G3),_xlfn.TEXTJOIN(", ",TRUE,IF(H3:S3="","",H$2:S$2&amp;"="&amp;H3:S3)))&amp;")"</f>
        <v>base_user = models.OneToOneField(User, on_delete=models.CASCADE, primary_key=True)</v>
      </c>
      <c r="V3" t="s">
        <v>206</v>
      </c>
      <c r="W3" s="23" t="s">
        <v>273</v>
      </c>
      <c r="X3" s="23" t="s">
        <v>290</v>
      </c>
      <c r="Y3" s="25"/>
      <c r="Z3" s="23"/>
      <c r="AA3" s="23"/>
      <c r="AB3" s="23"/>
      <c r="AC3" s="23"/>
      <c r="AD3" s="23"/>
      <c r="AE3" s="26" t="s">
        <v>212</v>
      </c>
      <c r="AF3" s="23" t="s">
        <v>249</v>
      </c>
      <c r="AG3" s="23" t="s">
        <v>249</v>
      </c>
      <c r="AH3" s="23"/>
      <c r="AI3" s="23"/>
      <c r="AJ3" s="23"/>
      <c r="AK3" s="23"/>
      <c r="AL3" s="23"/>
      <c r="AM3" s="23"/>
    </row>
    <row r="4" spans="1:39">
      <c r="A4" s="4" t="s">
        <v>27</v>
      </c>
      <c r="B4" s="6" t="s">
        <v>2</v>
      </c>
      <c r="C4" s="6" t="s">
        <v>403</v>
      </c>
      <c r="D4" s="6" t="str">
        <f t="array" ref="D4:S4" ca="1">IF(ISBLANK(VLOOKUP(C4,$W$3:$AM$105,COLUMN(OFFSET($B$1,0,0,1,16)),FALSE)),"",VLOOKUP(C4,$W$3:$AM$105,COLUMN(OFFSET($B$1,0,0,1,16)),FALSE))</f>
        <v>models.OneToOneField</v>
      </c>
      <c r="E4" s="8" t="str">
        <f ca="1"/>
        <v>ExtendedUser</v>
      </c>
      <c r="F4" s="2" t="str">
        <f ca="1"/>
        <v/>
      </c>
      <c r="G4" s="9" t="str">
        <f ca="1"/>
        <v/>
      </c>
      <c r="H4" s="11" t="str">
        <f ca="1"/>
        <v>models.CASCADE</v>
      </c>
      <c r="I4" s="2" t="str">
        <f ca="1"/>
        <v>True</v>
      </c>
      <c r="J4" s="2" t="str">
        <f ca="1"/>
        <v/>
      </c>
      <c r="K4" s="2" t="str">
        <f ca="1"/>
        <v/>
      </c>
      <c r="L4" s="2" t="str">
        <f ca="1"/>
        <v/>
      </c>
      <c r="M4" s="2" t="str">
        <f ca="1"/>
        <v/>
      </c>
      <c r="N4" s="2" t="str">
        <f ca="1"/>
        <v/>
      </c>
      <c r="O4" s="2" t="str">
        <f ca="1"/>
        <v/>
      </c>
      <c r="P4" s="2" t="str">
        <f ca="1"/>
        <v/>
      </c>
      <c r="Q4" s="2" t="str">
        <f ca="1"/>
        <v/>
      </c>
      <c r="R4" s="2" t="str">
        <f ca="1"/>
        <v/>
      </c>
      <c r="S4" s="9" t="str">
        <f ca="1"/>
        <v/>
      </c>
      <c r="T4" t="s">
        <v>206</v>
      </c>
      <c r="U4" t="str" cm="1">
        <f t="array" aca="1" ref="U4" ca="1">B4&amp;" = "&amp;D4&amp;"("&amp;_xlfn.TEXTJOIN(", ",TRUE,_xlfn.TEXTJOIN(", ",TRUE,E4:G4),_xlfn.TEXTJOIN(", ",TRUE,IF(H4:S4="","",H$2:S$2&amp;"="&amp;H4:S4)))&amp;")"</f>
        <v>user = models.OneToOneField(ExtendedUser, on_delete=models.CASCADE, primary_key=True)</v>
      </c>
      <c r="V4" t="s">
        <v>206</v>
      </c>
      <c r="W4" s="25" t="s">
        <v>266</v>
      </c>
      <c r="X4" s="25" t="s">
        <v>190</v>
      </c>
      <c r="Y4" s="25"/>
      <c r="Z4" s="26"/>
      <c r="AA4" s="26"/>
      <c r="AB4" s="26"/>
      <c r="AC4" s="26"/>
      <c r="AD4" s="27">
        <v>2</v>
      </c>
      <c r="AE4" s="26" t="s">
        <v>212</v>
      </c>
      <c r="AF4" s="28" t="s">
        <v>192</v>
      </c>
      <c r="AG4" s="23" t="s">
        <v>249</v>
      </c>
      <c r="AH4" s="26"/>
      <c r="AI4" s="26"/>
      <c r="AJ4" s="26"/>
      <c r="AK4" s="23"/>
      <c r="AL4" s="23"/>
      <c r="AM4" s="23"/>
    </row>
    <row r="5" spans="1:39">
      <c r="A5" s="4"/>
      <c r="B5" s="6" t="s">
        <v>4</v>
      </c>
      <c r="C5" s="6" t="s">
        <v>213</v>
      </c>
      <c r="D5" s="6" t="str">
        <f t="array" ref="D5:S5" ca="1">IF(ISBLANK(VLOOKUP(C5,$W$3:$AM$105,COLUMN(OFFSET($B$1,0,0,1,16)),FALSE)),"",VLOOKUP(C5,$W$3:$AM$105,COLUMN(OFFSET($B$1,0,0,1,16)),FALSE))</f>
        <v>models.CharField</v>
      </c>
      <c r="E5" s="8" t="str">
        <f ca="1"/>
        <v/>
      </c>
      <c r="F5" s="2" t="str">
        <f ca="1"/>
        <v/>
      </c>
      <c r="G5" s="9" t="str">
        <f ca="1"/>
        <v/>
      </c>
      <c r="H5" s="11" t="str">
        <f ca="1"/>
        <v/>
      </c>
      <c r="I5" s="2" t="str">
        <f ca="1"/>
        <v/>
      </c>
      <c r="J5" s="2">
        <f ca="1"/>
        <v>100</v>
      </c>
      <c r="K5" s="2" t="str">
        <f ca="1"/>
        <v>True</v>
      </c>
      <c r="L5" s="2" t="str">
        <f ca="1"/>
        <v>''</v>
      </c>
      <c r="M5" s="2" t="str">
        <f ca="1"/>
        <v>False</v>
      </c>
      <c r="N5" s="2" t="str">
        <f ca="1"/>
        <v/>
      </c>
      <c r="O5" s="2" t="str">
        <f ca="1"/>
        <v/>
      </c>
      <c r="P5" s="2" t="str">
        <f ca="1"/>
        <v/>
      </c>
      <c r="Q5" s="2" t="str">
        <f ca="1"/>
        <v/>
      </c>
      <c r="R5" s="2" t="str">
        <f ca="1"/>
        <v/>
      </c>
      <c r="S5" s="9" t="str">
        <f ca="1"/>
        <v/>
      </c>
      <c r="T5" t="s">
        <v>206</v>
      </c>
      <c r="U5" t="str" cm="1">
        <f t="array" aca="1" ref="U5" ca="1">B5&amp;" = "&amp;D5&amp;"("&amp;_xlfn.TEXTJOIN(", ",TRUE,_xlfn.TEXTJOIN(", ",TRUE,E5:G5),_xlfn.TEXTJOIN(", ",TRUE,IF(H5:S5="","",H$2:S$2&amp;"="&amp;H5:S5)))&amp;")"</f>
        <v>address = models.CharField(max_length=100, blank=True, default='', null=False)</v>
      </c>
      <c r="V5" t="s">
        <v>206</v>
      </c>
      <c r="W5" s="25" t="s">
        <v>265</v>
      </c>
      <c r="X5" s="25" t="s">
        <v>190</v>
      </c>
      <c r="Y5" s="25"/>
      <c r="Z5" s="26"/>
      <c r="AA5" s="26"/>
      <c r="AB5" s="26"/>
      <c r="AC5" s="26"/>
      <c r="AD5" s="28">
        <v>5</v>
      </c>
      <c r="AE5" s="26" t="s">
        <v>212</v>
      </c>
      <c r="AF5" s="28" t="s">
        <v>192</v>
      </c>
      <c r="AG5" s="23" t="s">
        <v>249</v>
      </c>
      <c r="AH5" s="26"/>
      <c r="AI5" s="26"/>
      <c r="AJ5" s="26"/>
      <c r="AK5" s="23"/>
      <c r="AL5" s="23"/>
      <c r="AM5" s="23"/>
    </row>
    <row r="6" spans="1:39">
      <c r="A6" s="4"/>
      <c r="B6" s="6" t="s">
        <v>6</v>
      </c>
      <c r="C6" s="6" t="s">
        <v>213</v>
      </c>
      <c r="D6" s="6" t="str">
        <f t="array" ref="D6:S6" ca="1">IF(ISBLANK(VLOOKUP(C6,$W$3:$AM$105,COLUMN(OFFSET($B$1,0,0,1,16)),FALSE)),"",VLOOKUP(C6,$W$3:$AM$105,COLUMN(OFFSET($B$1,0,0,1,16)),FALSE))</f>
        <v>models.CharField</v>
      </c>
      <c r="E6" s="8" t="str">
        <f ca="1"/>
        <v/>
      </c>
      <c r="F6" s="2" t="str">
        <f ca="1"/>
        <v/>
      </c>
      <c r="G6" s="9" t="str">
        <f ca="1"/>
        <v/>
      </c>
      <c r="H6" s="11" t="str">
        <f ca="1"/>
        <v/>
      </c>
      <c r="I6" s="2" t="str">
        <f ca="1"/>
        <v/>
      </c>
      <c r="J6" s="2">
        <f ca="1"/>
        <v>100</v>
      </c>
      <c r="K6" s="2" t="str">
        <f ca="1"/>
        <v>True</v>
      </c>
      <c r="L6" s="2" t="str">
        <f ca="1"/>
        <v>''</v>
      </c>
      <c r="M6" s="2" t="str">
        <f ca="1"/>
        <v>False</v>
      </c>
      <c r="N6" s="2" t="str">
        <f ca="1"/>
        <v/>
      </c>
      <c r="O6" s="2" t="str">
        <f ca="1"/>
        <v/>
      </c>
      <c r="P6" s="2" t="str">
        <f ca="1"/>
        <v/>
      </c>
      <c r="Q6" s="2" t="str">
        <f ca="1"/>
        <v/>
      </c>
      <c r="R6" s="2" t="str">
        <f ca="1"/>
        <v/>
      </c>
      <c r="S6" s="9" t="str">
        <f ca="1"/>
        <v/>
      </c>
      <c r="T6" t="s">
        <v>206</v>
      </c>
      <c r="U6" t="str" cm="1">
        <f t="array" aca="1" ref="U6" ca="1">B6&amp;" = "&amp;D6&amp;"("&amp;_xlfn.TEXTJOIN(", ",TRUE,_xlfn.TEXTJOIN(", ",TRUE,E6:G6),_xlfn.TEXTJOIN(", ",TRUE,IF(H6:S6="","",H$2:S$2&amp;"="&amp;H6:S6)))&amp;")"</f>
        <v>address2 = models.CharField(max_length=100, blank=True, default='', null=False)</v>
      </c>
      <c r="V6" t="s">
        <v>206</v>
      </c>
      <c r="W6" s="25" t="s">
        <v>267</v>
      </c>
      <c r="X6" s="25" t="s">
        <v>190</v>
      </c>
      <c r="Y6" s="25"/>
      <c r="Z6" s="26"/>
      <c r="AA6" s="26"/>
      <c r="AB6" s="26"/>
      <c r="AC6" s="26"/>
      <c r="AD6" s="28">
        <v>30</v>
      </c>
      <c r="AE6" s="26" t="s">
        <v>212</v>
      </c>
      <c r="AF6" s="28" t="s">
        <v>192</v>
      </c>
      <c r="AG6" s="23" t="s">
        <v>249</v>
      </c>
      <c r="AH6" s="26"/>
      <c r="AI6" s="26"/>
      <c r="AJ6" s="26"/>
      <c r="AK6" s="23"/>
      <c r="AL6" s="23"/>
      <c r="AM6" s="23"/>
    </row>
    <row r="7" spans="1:39">
      <c r="A7" s="4"/>
      <c r="B7" s="6" t="s">
        <v>8</v>
      </c>
      <c r="C7" s="7" t="s">
        <v>267</v>
      </c>
      <c r="D7" s="6" t="str">
        <f t="array" ref="D7:S7" ca="1">IF(ISBLANK(VLOOKUP(C7,$W$3:$AM$105,COLUMN(OFFSET($B$1,0,0,1,16)),FALSE)),"",VLOOKUP(C7,$W$3:$AM$105,COLUMN(OFFSET($B$1,0,0,1,16)),FALSE))</f>
        <v>models.CharField</v>
      </c>
      <c r="E7" s="8" t="str">
        <f ca="1"/>
        <v/>
      </c>
      <c r="F7" s="2" t="str">
        <f ca="1"/>
        <v/>
      </c>
      <c r="G7" s="9" t="str">
        <f ca="1"/>
        <v/>
      </c>
      <c r="H7" s="11" t="str">
        <f ca="1"/>
        <v/>
      </c>
      <c r="I7" s="2" t="str">
        <f ca="1"/>
        <v/>
      </c>
      <c r="J7" s="2">
        <f ca="1"/>
        <v>30</v>
      </c>
      <c r="K7" s="2" t="str">
        <f ca="1"/>
        <v>True</v>
      </c>
      <c r="L7" s="2" t="str">
        <f ca="1"/>
        <v>''</v>
      </c>
      <c r="M7" s="2" t="str">
        <f ca="1"/>
        <v>False</v>
      </c>
      <c r="N7" s="2" t="str">
        <f ca="1"/>
        <v/>
      </c>
      <c r="O7" s="2" t="str">
        <f ca="1"/>
        <v/>
      </c>
      <c r="P7" s="2" t="str">
        <f ca="1"/>
        <v/>
      </c>
      <c r="Q7" s="2" t="str">
        <f ca="1"/>
        <v/>
      </c>
      <c r="R7" s="2" t="str">
        <f ca="1"/>
        <v/>
      </c>
      <c r="S7" s="9" t="str">
        <f ca="1"/>
        <v/>
      </c>
      <c r="T7" t="s">
        <v>206</v>
      </c>
      <c r="U7" t="str" cm="1">
        <f t="array" aca="1" ref="U7" ca="1">B7&amp;" = "&amp;D7&amp;"("&amp;_xlfn.TEXTJOIN(", ",TRUE,_xlfn.TEXTJOIN(", ",TRUE,E7:G7),_xlfn.TEXTJOIN(", ",TRUE,IF(H7:S7="","",H$2:S$2&amp;"="&amp;H7:S7)))&amp;")"</f>
        <v>city = models.CharField(max_length=30, blank=True, default='', null=False)</v>
      </c>
      <c r="V7" t="s">
        <v>206</v>
      </c>
      <c r="W7" s="25" t="s">
        <v>213</v>
      </c>
      <c r="X7" s="25" t="s">
        <v>190</v>
      </c>
      <c r="Y7" s="25"/>
      <c r="Z7" s="26"/>
      <c r="AA7" s="26"/>
      <c r="AB7" s="26"/>
      <c r="AC7" s="26"/>
      <c r="AD7" s="28">
        <v>100</v>
      </c>
      <c r="AE7" s="26" t="s">
        <v>212</v>
      </c>
      <c r="AF7" s="28" t="s">
        <v>192</v>
      </c>
      <c r="AG7" s="23" t="s">
        <v>249</v>
      </c>
      <c r="AH7" s="26"/>
      <c r="AI7" s="26"/>
      <c r="AJ7" s="26"/>
      <c r="AK7" s="23"/>
      <c r="AL7" s="23"/>
      <c r="AM7" s="23"/>
    </row>
    <row r="8" spans="1:39">
      <c r="A8" s="4"/>
      <c r="B8" s="6" t="s">
        <v>10</v>
      </c>
      <c r="C8" s="7" t="s">
        <v>340</v>
      </c>
      <c r="D8" s="6" t="str">
        <f t="array" ref="D8:S8" ca="1">IF(ISBLANK(VLOOKUP(C8,$W$3:$AM$105,COLUMN(OFFSET($B$1,0,0,1,16)),FALSE)),"",VLOOKUP(C8,$W$3:$AM$105,COLUMN(OFFSET($B$1,0,0,1,16)),FALSE))</f>
        <v>models.CharField</v>
      </c>
      <c r="E8" s="8" t="str">
        <f ca="1"/>
        <v/>
      </c>
      <c r="F8" s="2" t="str">
        <f ca="1"/>
        <v/>
      </c>
      <c r="G8" s="9" t="str">
        <f ca="1"/>
        <v/>
      </c>
      <c r="H8" s="11" t="str">
        <f ca="1"/>
        <v/>
      </c>
      <c r="I8" s="2" t="str">
        <f ca="1"/>
        <v/>
      </c>
      <c r="J8" s="2">
        <f ca="1"/>
        <v>2</v>
      </c>
      <c r="K8" s="2" t="str">
        <f ca="1"/>
        <v>True</v>
      </c>
      <c r="L8" s="2" t="str">
        <f ca="1"/>
        <v>''</v>
      </c>
      <c r="M8" s="2" t="str">
        <f ca="1"/>
        <v>False</v>
      </c>
      <c r="N8" s="2" t="str">
        <f ca="1"/>
        <v/>
      </c>
      <c r="O8" s="2" t="str">
        <f ca="1"/>
        <v/>
      </c>
      <c r="P8" s="2" t="str">
        <f ca="1"/>
        <v/>
      </c>
      <c r="Q8" s="2" t="str">
        <f ca="1"/>
        <v>ST_LIST</v>
      </c>
      <c r="R8" s="2" t="str">
        <f ca="1"/>
        <v/>
      </c>
      <c r="S8" s="9" t="str">
        <f ca="1"/>
        <v/>
      </c>
      <c r="T8" t="s">
        <v>206</v>
      </c>
      <c r="U8" t="str" cm="1">
        <f t="array" aca="1" ref="U8" ca="1">B8&amp;" = "&amp;D8&amp;"("&amp;_xlfn.TEXTJOIN(", ",TRUE,_xlfn.TEXTJOIN(", ",TRUE,E8:G8),_xlfn.TEXTJOIN(", ",TRUE,IF(H8:S8="","",H$2:S$2&amp;"="&amp;H8:S8)))&amp;")"</f>
        <v>state = models.CharField(max_length=2, blank=True, default='', null=False, choices=ST_LIST)</v>
      </c>
      <c r="V8" t="s">
        <v>206</v>
      </c>
      <c r="W8" s="25" t="s">
        <v>279</v>
      </c>
      <c r="X8" s="25" t="s">
        <v>190</v>
      </c>
      <c r="Y8" s="25"/>
      <c r="Z8" s="26"/>
      <c r="AA8" s="26"/>
      <c r="AB8" s="26"/>
      <c r="AC8" s="26"/>
      <c r="AD8" s="27">
        <v>500</v>
      </c>
      <c r="AE8" s="26" t="s">
        <v>212</v>
      </c>
      <c r="AF8" s="28" t="s">
        <v>192</v>
      </c>
      <c r="AG8" s="23" t="s">
        <v>249</v>
      </c>
      <c r="AH8" s="26"/>
      <c r="AI8" s="26"/>
      <c r="AJ8" s="26"/>
      <c r="AK8" s="23"/>
      <c r="AL8" s="23"/>
      <c r="AM8" s="23"/>
    </row>
    <row r="9" spans="1:39">
      <c r="A9" s="4"/>
      <c r="B9" s="6" t="s">
        <v>12</v>
      </c>
      <c r="C9" s="7" t="s">
        <v>265</v>
      </c>
      <c r="D9" s="6" t="str">
        <f t="array" ref="D9:S9" ca="1">IF(ISBLANK(VLOOKUP(C9,$W$3:$AM$105,COLUMN(OFFSET($B$1,0,0,1,16)),FALSE)),"",VLOOKUP(C9,$W$3:$AM$105,COLUMN(OFFSET($B$1,0,0,1,16)),FALSE))</f>
        <v>models.CharField</v>
      </c>
      <c r="E9" s="8" t="str">
        <f ca="1"/>
        <v/>
      </c>
      <c r="F9" s="2" t="str">
        <f ca="1"/>
        <v/>
      </c>
      <c r="G9" s="9" t="str">
        <f ca="1"/>
        <v/>
      </c>
      <c r="H9" s="11" t="str">
        <f ca="1"/>
        <v/>
      </c>
      <c r="I9" s="2" t="str">
        <f ca="1"/>
        <v/>
      </c>
      <c r="J9" s="2">
        <f ca="1"/>
        <v>5</v>
      </c>
      <c r="K9" s="2" t="str">
        <f ca="1"/>
        <v>True</v>
      </c>
      <c r="L9" s="2" t="str">
        <f ca="1"/>
        <v>''</v>
      </c>
      <c r="M9" s="2" t="str">
        <f ca="1"/>
        <v>False</v>
      </c>
      <c r="N9" s="2" t="str">
        <f ca="1"/>
        <v/>
      </c>
      <c r="O9" s="2" t="str">
        <f ca="1"/>
        <v/>
      </c>
      <c r="P9" s="2" t="str">
        <f ca="1"/>
        <v/>
      </c>
      <c r="Q9" s="2" t="str">
        <f ca="1"/>
        <v/>
      </c>
      <c r="R9" s="2" t="str">
        <f ca="1"/>
        <v/>
      </c>
      <c r="S9" s="9" t="str">
        <f ca="1"/>
        <v/>
      </c>
      <c r="T9" t="s">
        <v>206</v>
      </c>
      <c r="U9" t="str" cm="1">
        <f t="array" aca="1" ref="U9" ca="1">B9&amp;" = "&amp;D9&amp;"("&amp;_xlfn.TEXTJOIN(", ",TRUE,_xlfn.TEXTJOIN(", ",TRUE,E9:G9),_xlfn.TEXTJOIN(", ",TRUE,IF(H9:S9="","",H$2:S$2&amp;"="&amp;H9:S9)))&amp;")"</f>
        <v>zip = models.CharField(max_length=5, blank=True, default='', null=False)</v>
      </c>
      <c r="V9" t="s">
        <v>206</v>
      </c>
      <c r="W9" s="25" t="s">
        <v>284</v>
      </c>
      <c r="X9" s="25" t="s">
        <v>190</v>
      </c>
      <c r="Y9" s="25"/>
      <c r="Z9" s="26"/>
      <c r="AA9" s="26"/>
      <c r="AB9" s="26"/>
      <c r="AC9" s="26"/>
      <c r="AD9" s="27">
        <v>999</v>
      </c>
      <c r="AE9" s="26" t="s">
        <v>212</v>
      </c>
      <c r="AF9" s="28" t="s">
        <v>192</v>
      </c>
      <c r="AG9" s="23" t="s">
        <v>249</v>
      </c>
      <c r="AH9" s="26"/>
      <c r="AI9" s="26"/>
      <c r="AJ9" s="26"/>
      <c r="AK9" s="23"/>
      <c r="AL9" s="23"/>
      <c r="AM9" s="23"/>
    </row>
    <row r="10" spans="1:39">
      <c r="A10" s="4"/>
      <c r="B10" s="6" t="s">
        <v>14</v>
      </c>
      <c r="C10" s="6" t="s">
        <v>14</v>
      </c>
      <c r="D10" s="6" t="str">
        <f t="array" ref="D10:S10" ca="1">IF(ISBLANK(VLOOKUP(C10,$W$3:$AM$105,COLUMN(OFFSET($B$1,0,0,1,16)),FALSE)),"",VLOOKUP(C10,$W$3:$AM$105,COLUMN(OFFSET($B$1,0,0,1,16)),FALSE))</f>
        <v>PhoneNumberField</v>
      </c>
      <c r="E10" s="8" t="str">
        <f ca="1"/>
        <v/>
      </c>
      <c r="F10" s="2" t="str">
        <f ca="1"/>
        <v/>
      </c>
      <c r="G10" s="9" t="str">
        <f ca="1"/>
        <v/>
      </c>
      <c r="H10" s="11" t="str">
        <f ca="1"/>
        <v/>
      </c>
      <c r="I10" s="2" t="str">
        <f ca="1"/>
        <v/>
      </c>
      <c r="J10" s="2" t="str">
        <f ca="1"/>
        <v/>
      </c>
      <c r="K10" s="2" t="str">
        <f ca="1"/>
        <v>True</v>
      </c>
      <c r="L10" s="2" t="str">
        <f ca="1"/>
        <v/>
      </c>
      <c r="M10" s="2" t="str">
        <f ca="1"/>
        <v/>
      </c>
      <c r="N10" s="2" t="str">
        <f ca="1"/>
        <v/>
      </c>
      <c r="O10" s="2" t="str">
        <f ca="1"/>
        <v/>
      </c>
      <c r="P10" s="2" t="str">
        <f ca="1"/>
        <v/>
      </c>
      <c r="Q10" s="2" t="str">
        <f ca="1"/>
        <v/>
      </c>
      <c r="R10" s="2" t="str">
        <f ca="1"/>
        <v/>
      </c>
      <c r="S10" s="9" t="str">
        <f ca="1"/>
        <v>'US'</v>
      </c>
      <c r="T10" t="s">
        <v>206</v>
      </c>
      <c r="U10" t="str" cm="1">
        <f t="array" aca="1" ref="U10" ca="1">B10&amp;" = "&amp;D10&amp;"("&amp;_xlfn.TEXTJOIN(", ",TRUE,_xlfn.TEXTJOIN(", ",TRUE,E10:G10),_xlfn.TEXTJOIN(", ",TRUE,IF(H10:S10="","",H$2:S$2&amp;"="&amp;H10:S10)))&amp;")"</f>
        <v>phone = PhoneNumberField(blank=True, region='US')</v>
      </c>
      <c r="V10" t="s">
        <v>206</v>
      </c>
      <c r="W10" s="25" t="s">
        <v>270</v>
      </c>
      <c r="X10" s="25" t="s">
        <v>190</v>
      </c>
      <c r="Y10" s="25"/>
      <c r="Z10" s="23"/>
      <c r="AA10" s="23"/>
      <c r="AB10" s="23"/>
      <c r="AC10" s="23"/>
      <c r="AD10" s="27">
        <v>50</v>
      </c>
      <c r="AE10" s="26" t="s">
        <v>212</v>
      </c>
      <c r="AF10" s="28" t="s">
        <v>192</v>
      </c>
      <c r="AG10" s="23" t="s">
        <v>249</v>
      </c>
      <c r="AH10" s="23"/>
      <c r="AI10" s="23"/>
      <c r="AJ10" s="23"/>
      <c r="AK10" s="23" t="s">
        <v>269</v>
      </c>
      <c r="AL10" s="23"/>
      <c r="AM10" s="23"/>
    </row>
    <row r="11" spans="1:39">
      <c r="A11" s="4"/>
      <c r="B11" s="6" t="s">
        <v>31</v>
      </c>
      <c r="C11" s="6" t="s">
        <v>7</v>
      </c>
      <c r="D11" s="6" t="str">
        <f t="array" ref="D11:S11" ca="1">IF(ISBLANK(VLOOKUP(C11,$W$3:$AM$105,COLUMN(OFFSET($B$1,0,0,1,16)),FALSE)),"",VLOOKUP(C11,$W$3:$AM$105,COLUMN(OFFSET($B$1,0,0,1,16)),FALSE))</f>
        <v>models.DateField</v>
      </c>
      <c r="E11" s="8" t="str">
        <f ca="1"/>
        <v/>
      </c>
      <c r="F11" s="2" t="str">
        <f ca="1"/>
        <v/>
      </c>
      <c r="G11" s="9" t="str">
        <f ca="1"/>
        <v/>
      </c>
      <c r="H11" s="11" t="str">
        <f ca="1"/>
        <v/>
      </c>
      <c r="I11" s="2" t="str">
        <f ca="1"/>
        <v/>
      </c>
      <c r="J11" s="2" t="str">
        <f ca="1"/>
        <v/>
      </c>
      <c r="K11" s="2" t="str">
        <f ca="1"/>
        <v>True</v>
      </c>
      <c r="L11" s="2" t="str">
        <f ca="1"/>
        <v>None</v>
      </c>
      <c r="M11" s="2" t="str">
        <f ca="1"/>
        <v>True</v>
      </c>
      <c r="N11" s="2" t="str">
        <f ca="1"/>
        <v/>
      </c>
      <c r="O11" s="2" t="str">
        <f ca="1"/>
        <v/>
      </c>
      <c r="P11" s="2" t="str">
        <f ca="1"/>
        <v/>
      </c>
      <c r="Q11" s="2" t="str">
        <f ca="1"/>
        <v/>
      </c>
      <c r="R11" s="2" t="str">
        <f ca="1"/>
        <v/>
      </c>
      <c r="S11" s="9" t="str">
        <f ca="1"/>
        <v/>
      </c>
      <c r="T11" t="s">
        <v>206</v>
      </c>
      <c r="U11" t="str" cm="1">
        <f t="array" aca="1" ref="U11" ca="1">B11&amp;" = "&amp;D11&amp;"("&amp;_xlfn.TEXTJOIN(", ",TRUE,_xlfn.TEXTJOIN(", ",TRUE,E11:G11),_xlfn.TEXTJOIN(", ",TRUE,IF(H11:S11="","",H$2:S$2&amp;"="&amp;H11:S11)))&amp;")"</f>
        <v>date_of_birth = models.DateField(blank=True, default=None, null=True)</v>
      </c>
      <c r="V11" t="s">
        <v>206</v>
      </c>
      <c r="W11" s="25" t="s">
        <v>232</v>
      </c>
      <c r="X11" s="25" t="s">
        <v>190</v>
      </c>
      <c r="Y11" s="25"/>
      <c r="Z11" s="23"/>
      <c r="AA11" s="23"/>
      <c r="AB11" s="23"/>
      <c r="AC11" s="23"/>
      <c r="AD11" s="27">
        <v>50</v>
      </c>
      <c r="AE11" s="26" t="s">
        <v>212</v>
      </c>
      <c r="AF11" s="28" t="s">
        <v>192</v>
      </c>
      <c r="AG11" s="23" t="s">
        <v>249</v>
      </c>
      <c r="AH11" s="23"/>
      <c r="AI11" s="23"/>
      <c r="AJ11" s="23"/>
      <c r="AK11" s="23" t="s">
        <v>231</v>
      </c>
      <c r="AL11" s="23"/>
      <c r="AM11" s="23"/>
    </row>
    <row r="12" spans="1:39">
      <c r="A12" s="4"/>
      <c r="B12" s="6" t="s">
        <v>32</v>
      </c>
      <c r="C12" s="7" t="s">
        <v>267</v>
      </c>
      <c r="D12" s="6" t="str">
        <f t="array" ref="D12:S12" ca="1">IF(ISBLANK(VLOOKUP(C12,$W$3:$AM$105,COLUMN(OFFSET($B$1,0,0,1,16)),FALSE)),"",VLOOKUP(C12,$W$3:$AM$105,COLUMN(OFFSET($B$1,0,0,1,16)),FALSE))</f>
        <v>models.CharField</v>
      </c>
      <c r="E12" s="8" t="str">
        <f ca="1"/>
        <v/>
      </c>
      <c r="F12" s="2" t="str">
        <f ca="1"/>
        <v/>
      </c>
      <c r="G12" s="9" t="str">
        <f ca="1"/>
        <v/>
      </c>
      <c r="H12" s="11" t="str">
        <f ca="1"/>
        <v/>
      </c>
      <c r="I12" s="2" t="str">
        <f ca="1"/>
        <v/>
      </c>
      <c r="J12" s="2">
        <f ca="1"/>
        <v>30</v>
      </c>
      <c r="K12" s="2" t="str">
        <f ca="1"/>
        <v>True</v>
      </c>
      <c r="L12" s="2" t="str">
        <f ca="1"/>
        <v>''</v>
      </c>
      <c r="M12" s="2" t="str">
        <f ca="1"/>
        <v>False</v>
      </c>
      <c r="N12" s="2" t="str">
        <f ca="1"/>
        <v/>
      </c>
      <c r="O12" s="2" t="str">
        <f ca="1"/>
        <v/>
      </c>
      <c r="P12" s="2" t="str">
        <f ca="1"/>
        <v/>
      </c>
      <c r="Q12" s="2" t="str">
        <f ca="1"/>
        <v/>
      </c>
      <c r="R12" s="2" t="str">
        <f ca="1"/>
        <v/>
      </c>
      <c r="S12" s="9" t="str">
        <f ca="1"/>
        <v/>
      </c>
      <c r="T12" t="s">
        <v>206</v>
      </c>
      <c r="U12" t="str" cm="1">
        <f t="array" aca="1" ref="U12" ca="1">B12&amp;" = "&amp;D12&amp;"("&amp;_xlfn.TEXTJOIN(", ",TRUE,_xlfn.TEXTJOIN(", ",TRUE,E12:G12),_xlfn.TEXTJOIN(", ",TRUE,IF(H12:S12="","",H$2:S$2&amp;"="&amp;H12:S12)))&amp;")"</f>
        <v>ice1_fname = models.CharField(max_length=30, blank=True, default='', null=False)</v>
      </c>
      <c r="V12" t="s">
        <v>206</v>
      </c>
      <c r="W12" s="25" t="s">
        <v>278</v>
      </c>
      <c r="X12" s="25" t="s">
        <v>190</v>
      </c>
      <c r="Y12" s="25"/>
      <c r="Z12" s="23"/>
      <c r="AA12" s="23"/>
      <c r="AB12" s="23"/>
      <c r="AC12" s="23"/>
      <c r="AD12" s="27">
        <v>50</v>
      </c>
      <c r="AE12" s="26" t="s">
        <v>212</v>
      </c>
      <c r="AF12" s="28" t="s">
        <v>192</v>
      </c>
      <c r="AG12" s="23" t="s">
        <v>249</v>
      </c>
      <c r="AH12" s="23"/>
      <c r="AI12" s="23"/>
      <c r="AJ12" s="23"/>
      <c r="AK12" s="23" t="s">
        <v>277</v>
      </c>
      <c r="AL12" s="23"/>
      <c r="AM12" s="23"/>
    </row>
    <row r="13" spans="1:39">
      <c r="A13" s="4"/>
      <c r="B13" s="6" t="s">
        <v>33</v>
      </c>
      <c r="C13" s="7" t="s">
        <v>267</v>
      </c>
      <c r="D13" s="6" t="str">
        <f t="array" ref="D13:S13" ca="1">IF(ISBLANK(VLOOKUP(C13,$W$3:$AM$105,COLUMN(OFFSET($B$1,0,0,1,16)),FALSE)),"",VLOOKUP(C13,$W$3:$AM$105,COLUMN(OFFSET($B$1,0,0,1,16)),FALSE))</f>
        <v>models.CharField</v>
      </c>
      <c r="E13" s="8" t="str">
        <f ca="1"/>
        <v/>
      </c>
      <c r="F13" s="2" t="str">
        <f ca="1"/>
        <v/>
      </c>
      <c r="G13" s="9" t="str">
        <f ca="1"/>
        <v/>
      </c>
      <c r="H13" s="11" t="str">
        <f ca="1"/>
        <v/>
      </c>
      <c r="I13" s="2" t="str">
        <f ca="1"/>
        <v/>
      </c>
      <c r="J13" s="2">
        <f ca="1"/>
        <v>30</v>
      </c>
      <c r="K13" s="2" t="str">
        <f ca="1"/>
        <v>True</v>
      </c>
      <c r="L13" s="2" t="str">
        <f ca="1"/>
        <v>''</v>
      </c>
      <c r="M13" s="2" t="str">
        <f ca="1"/>
        <v>False</v>
      </c>
      <c r="N13" s="2" t="str">
        <f ca="1"/>
        <v/>
      </c>
      <c r="O13" s="2" t="str">
        <f ca="1"/>
        <v/>
      </c>
      <c r="P13" s="2" t="str">
        <f ca="1"/>
        <v/>
      </c>
      <c r="Q13" s="2" t="str">
        <f ca="1"/>
        <v/>
      </c>
      <c r="R13" s="2" t="str">
        <f ca="1"/>
        <v/>
      </c>
      <c r="S13" s="9" t="str">
        <f ca="1"/>
        <v/>
      </c>
      <c r="T13" t="s">
        <v>206</v>
      </c>
      <c r="U13" t="str" cm="1">
        <f t="array" aca="1" ref="U13" ca="1">B13&amp;" = "&amp;D13&amp;"("&amp;_xlfn.TEXTJOIN(", ",TRUE,_xlfn.TEXTJOIN(", ",TRUE,E13:G13),_xlfn.TEXTJOIN(", ",TRUE,IF(H13:S13="","",H$2:S$2&amp;"="&amp;H13:S13)))&amp;")"</f>
        <v>ice1_lname = models.CharField(max_length=30, blank=True, default='', null=False)</v>
      </c>
      <c r="V13" t="s">
        <v>206</v>
      </c>
      <c r="W13" s="25" t="s">
        <v>236</v>
      </c>
      <c r="X13" s="25" t="s">
        <v>190</v>
      </c>
      <c r="Y13" s="25"/>
      <c r="Z13" s="23"/>
      <c r="AA13" s="23"/>
      <c r="AB13" s="23"/>
      <c r="AC13" s="23"/>
      <c r="AD13" s="27">
        <v>50</v>
      </c>
      <c r="AE13" s="26" t="s">
        <v>212</v>
      </c>
      <c r="AF13" s="28" t="s">
        <v>192</v>
      </c>
      <c r="AG13" s="23" t="s">
        <v>249</v>
      </c>
      <c r="AH13" s="23"/>
      <c r="AI13" s="23"/>
      <c r="AJ13" s="23"/>
      <c r="AK13" s="23" t="s">
        <v>235</v>
      </c>
      <c r="AL13" s="23"/>
      <c r="AM13" s="23"/>
    </row>
    <row r="14" spans="1:39">
      <c r="A14" s="4"/>
      <c r="B14" s="6" t="s">
        <v>34</v>
      </c>
      <c r="C14" s="6" t="s">
        <v>14</v>
      </c>
      <c r="D14" s="6" t="str">
        <f t="array" ref="D14:S14" ca="1">IF(ISBLANK(VLOOKUP(C14,$W$3:$AM$105,COLUMN(OFFSET($B$1,0,0,1,16)),FALSE)),"",VLOOKUP(C14,$W$3:$AM$105,COLUMN(OFFSET($B$1,0,0,1,16)),FALSE))</f>
        <v>PhoneNumberField</v>
      </c>
      <c r="E14" s="8" t="str">
        <f ca="1"/>
        <v/>
      </c>
      <c r="F14" s="2" t="str">
        <f ca="1"/>
        <v/>
      </c>
      <c r="G14" s="9" t="str">
        <f ca="1"/>
        <v/>
      </c>
      <c r="H14" s="11" t="str">
        <f ca="1"/>
        <v/>
      </c>
      <c r="I14" s="2" t="str">
        <f ca="1"/>
        <v/>
      </c>
      <c r="J14" s="2" t="str">
        <f ca="1"/>
        <v/>
      </c>
      <c r="K14" s="2" t="str">
        <f ca="1"/>
        <v>True</v>
      </c>
      <c r="L14" s="2" t="str">
        <f ca="1"/>
        <v/>
      </c>
      <c r="M14" s="2" t="str">
        <f ca="1"/>
        <v/>
      </c>
      <c r="N14" s="2" t="str">
        <f ca="1"/>
        <v/>
      </c>
      <c r="O14" s="2" t="str">
        <f ca="1"/>
        <v/>
      </c>
      <c r="P14" s="2" t="str">
        <f ca="1"/>
        <v/>
      </c>
      <c r="Q14" s="2" t="str">
        <f ca="1"/>
        <v/>
      </c>
      <c r="R14" s="2" t="str">
        <f ca="1"/>
        <v/>
      </c>
      <c r="S14" s="9" t="str">
        <f ca="1"/>
        <v>'US'</v>
      </c>
      <c r="T14" t="s">
        <v>206</v>
      </c>
      <c r="U14" t="str" cm="1">
        <f t="array" aca="1" ref="U14" ca="1">B14&amp;" = "&amp;D14&amp;"("&amp;_xlfn.TEXTJOIN(", ",TRUE,_xlfn.TEXTJOIN(", ",TRUE,E14:G14),_xlfn.TEXTJOIN(", ",TRUE,IF(H14:S14="","",H$2:S$2&amp;"="&amp;H14:S14)))&amp;")"</f>
        <v>ice1_phone = PhoneNumberField(blank=True, region='US')</v>
      </c>
      <c r="V14" t="s">
        <v>206</v>
      </c>
      <c r="W14" s="25" t="s">
        <v>233</v>
      </c>
      <c r="X14" s="25" t="s">
        <v>190</v>
      </c>
      <c r="Y14" s="25"/>
      <c r="Z14" s="23"/>
      <c r="AA14" s="23"/>
      <c r="AB14" s="23"/>
      <c r="AC14" s="23"/>
      <c r="AD14" s="27">
        <v>50</v>
      </c>
      <c r="AE14" s="26" t="s">
        <v>212</v>
      </c>
      <c r="AF14" s="28" t="s">
        <v>192</v>
      </c>
      <c r="AG14" s="23" t="s">
        <v>249</v>
      </c>
      <c r="AH14" s="23"/>
      <c r="AI14" s="23"/>
      <c r="AJ14" s="23"/>
      <c r="AK14" s="23" t="s">
        <v>234</v>
      </c>
      <c r="AL14" s="23"/>
      <c r="AM14" s="23"/>
    </row>
    <row r="15" spans="1:39">
      <c r="A15" s="4"/>
      <c r="B15" s="6" t="s">
        <v>35</v>
      </c>
      <c r="C15" s="7" t="s">
        <v>267</v>
      </c>
      <c r="D15" s="6" t="str">
        <f t="array" ref="D15:S15" ca="1">IF(ISBLANK(VLOOKUP(C15,$W$3:$AM$105,COLUMN(OFFSET($B$1,0,0,1,16)),FALSE)),"",VLOOKUP(C15,$W$3:$AM$105,COLUMN(OFFSET($B$1,0,0,1,16)),FALSE))</f>
        <v>models.CharField</v>
      </c>
      <c r="E15" s="8" t="str">
        <f ca="1"/>
        <v/>
      </c>
      <c r="F15" s="2" t="str">
        <f ca="1"/>
        <v/>
      </c>
      <c r="G15" s="9" t="str">
        <f ca="1"/>
        <v/>
      </c>
      <c r="H15" s="11" t="str">
        <f ca="1"/>
        <v/>
      </c>
      <c r="I15" s="2" t="str">
        <f ca="1"/>
        <v/>
      </c>
      <c r="J15" s="2">
        <f ca="1"/>
        <v>30</v>
      </c>
      <c r="K15" s="2" t="str">
        <f ca="1"/>
        <v>True</v>
      </c>
      <c r="L15" s="2" t="str">
        <f ca="1"/>
        <v>''</v>
      </c>
      <c r="M15" s="2" t="str">
        <f ca="1"/>
        <v>False</v>
      </c>
      <c r="N15" s="2" t="str">
        <f ca="1"/>
        <v/>
      </c>
      <c r="O15" s="2" t="str">
        <f ca="1"/>
        <v/>
      </c>
      <c r="P15" s="2" t="str">
        <f ca="1"/>
        <v/>
      </c>
      <c r="Q15" s="2" t="str">
        <f ca="1"/>
        <v/>
      </c>
      <c r="R15" s="2" t="str">
        <f ca="1"/>
        <v/>
      </c>
      <c r="S15" s="9" t="str">
        <f ca="1"/>
        <v/>
      </c>
      <c r="T15" t="s">
        <v>206</v>
      </c>
      <c r="U15" t="str" cm="1">
        <f t="array" aca="1" ref="U15" ca="1">B15&amp;" = "&amp;D15&amp;"("&amp;_xlfn.TEXTJOIN(", ",TRUE,_xlfn.TEXTJOIN(", ",TRUE,E15:G15),_xlfn.TEXTJOIN(", ",TRUE,IF(H15:S15="","",H$2:S$2&amp;"="&amp;H15:S15)))&amp;")"</f>
        <v>ice1_relationship = models.CharField(max_length=30, blank=True, default='', null=False)</v>
      </c>
      <c r="V15" t="s">
        <v>206</v>
      </c>
      <c r="W15" s="25" t="s">
        <v>274</v>
      </c>
      <c r="X15" s="25" t="s">
        <v>190</v>
      </c>
      <c r="Y15" s="25"/>
      <c r="Z15" s="23"/>
      <c r="AA15" s="23"/>
      <c r="AB15" s="28"/>
      <c r="AC15" s="23"/>
      <c r="AD15" s="27">
        <v>50</v>
      </c>
      <c r="AE15" s="26" t="s">
        <v>212</v>
      </c>
      <c r="AF15" s="28" t="s">
        <v>192</v>
      </c>
      <c r="AG15" s="23" t="s">
        <v>249</v>
      </c>
      <c r="AH15" s="23"/>
      <c r="AI15" s="23"/>
      <c r="AJ15" s="23"/>
      <c r="AK15" s="23" t="s">
        <v>275</v>
      </c>
      <c r="AL15" s="23"/>
      <c r="AM15" s="23"/>
    </row>
    <row r="16" spans="1:39">
      <c r="A16" s="4"/>
      <c r="B16" s="6" t="s">
        <v>37</v>
      </c>
      <c r="C16" s="7" t="s">
        <v>267</v>
      </c>
      <c r="D16" s="6" t="str">
        <f t="array" ref="D16:S16" ca="1">IF(ISBLANK(VLOOKUP(C16,$W$3:$AM$105,COLUMN(OFFSET($B$1,0,0,1,16)),FALSE)),"",VLOOKUP(C16,$W$3:$AM$105,COLUMN(OFFSET($B$1,0,0,1,16)),FALSE))</f>
        <v>models.CharField</v>
      </c>
      <c r="E16" s="8" t="str">
        <f ca="1"/>
        <v/>
      </c>
      <c r="F16" s="2" t="str">
        <f ca="1"/>
        <v/>
      </c>
      <c r="G16" s="9" t="str">
        <f ca="1"/>
        <v/>
      </c>
      <c r="H16" s="11" t="str">
        <f ca="1"/>
        <v/>
      </c>
      <c r="I16" s="2" t="str">
        <f ca="1"/>
        <v/>
      </c>
      <c r="J16" s="2">
        <f ca="1"/>
        <v>30</v>
      </c>
      <c r="K16" s="2" t="str">
        <f ca="1"/>
        <v>True</v>
      </c>
      <c r="L16" s="2" t="str">
        <f ca="1"/>
        <v>''</v>
      </c>
      <c r="M16" s="2" t="str">
        <f ca="1"/>
        <v>False</v>
      </c>
      <c r="N16" s="2" t="str">
        <f ca="1"/>
        <v/>
      </c>
      <c r="O16" s="2" t="str">
        <f ca="1"/>
        <v/>
      </c>
      <c r="P16" s="2" t="str">
        <f ca="1"/>
        <v/>
      </c>
      <c r="Q16" s="2" t="str">
        <f ca="1"/>
        <v/>
      </c>
      <c r="R16" s="2" t="str">
        <f ca="1"/>
        <v/>
      </c>
      <c r="S16" s="9" t="str">
        <f ca="1"/>
        <v/>
      </c>
      <c r="T16" t="s">
        <v>206</v>
      </c>
      <c r="U16" t="str" cm="1">
        <f t="array" aca="1" ref="U16" ca="1">B16&amp;" = "&amp;D16&amp;"("&amp;_xlfn.TEXTJOIN(", ",TRUE,_xlfn.TEXTJOIN(", ",TRUE,E16:G16),_xlfn.TEXTJOIN(", ",TRUE,IF(H16:S16="","",H$2:S$2&amp;"="&amp;H16:S16)))&amp;")"</f>
        <v>ice2_fname = models.CharField(max_length=30, blank=True, default='', null=False)</v>
      </c>
      <c r="V16" t="s">
        <v>206</v>
      </c>
      <c r="W16" s="31" t="s">
        <v>340</v>
      </c>
      <c r="X16" s="25" t="s">
        <v>190</v>
      </c>
      <c r="Y16" s="25"/>
      <c r="Z16" s="23"/>
      <c r="AA16" s="23"/>
      <c r="AB16" s="23"/>
      <c r="AC16" s="23"/>
      <c r="AD16" s="27">
        <v>2</v>
      </c>
      <c r="AE16" s="26" t="s">
        <v>212</v>
      </c>
      <c r="AF16" s="28" t="s">
        <v>192</v>
      </c>
      <c r="AG16" s="23" t="s">
        <v>249</v>
      </c>
      <c r="AH16" s="23"/>
      <c r="AI16" s="23"/>
      <c r="AJ16" s="23"/>
      <c r="AK16" s="23" t="s">
        <v>341</v>
      </c>
    </row>
    <row r="17" spans="1:39">
      <c r="A17" s="4"/>
      <c r="B17" s="6" t="s">
        <v>38</v>
      </c>
      <c r="C17" s="7" t="s">
        <v>267</v>
      </c>
      <c r="D17" s="6" t="str">
        <f t="array" ref="D17:S17" ca="1">IF(ISBLANK(VLOOKUP(C17,$W$3:$AM$105,COLUMN(OFFSET($B$1,0,0,1,16)),FALSE)),"",VLOOKUP(C17,$W$3:$AM$105,COLUMN(OFFSET($B$1,0,0,1,16)),FALSE))</f>
        <v>models.CharField</v>
      </c>
      <c r="E17" s="8" t="str">
        <f ca="1"/>
        <v/>
      </c>
      <c r="F17" s="2" t="str">
        <f ca="1"/>
        <v/>
      </c>
      <c r="G17" s="9" t="str">
        <f ca="1"/>
        <v/>
      </c>
      <c r="H17" s="11" t="str">
        <f ca="1"/>
        <v/>
      </c>
      <c r="I17" s="2" t="str">
        <f ca="1"/>
        <v/>
      </c>
      <c r="J17" s="2">
        <f ca="1"/>
        <v>30</v>
      </c>
      <c r="K17" s="2" t="str">
        <f ca="1"/>
        <v>True</v>
      </c>
      <c r="L17" s="2" t="str">
        <f ca="1"/>
        <v>''</v>
      </c>
      <c r="M17" s="2" t="str">
        <f ca="1"/>
        <v>False</v>
      </c>
      <c r="N17" s="2" t="str">
        <f ca="1"/>
        <v/>
      </c>
      <c r="O17" s="2" t="str">
        <f ca="1"/>
        <v/>
      </c>
      <c r="P17" s="2" t="str">
        <f ca="1"/>
        <v/>
      </c>
      <c r="Q17" s="2" t="str">
        <f ca="1"/>
        <v/>
      </c>
      <c r="R17" s="2" t="str">
        <f ca="1"/>
        <v/>
      </c>
      <c r="S17" s="9" t="str">
        <f ca="1"/>
        <v/>
      </c>
      <c r="T17" t="s">
        <v>206</v>
      </c>
      <c r="U17" t="str" cm="1">
        <f t="array" aca="1" ref="U17" ca="1">B17&amp;" = "&amp;D17&amp;"("&amp;_xlfn.TEXTJOIN(", ",TRUE,_xlfn.TEXTJOIN(", ",TRUE,E17:G17),_xlfn.TEXTJOIN(", ",TRUE,IF(H17:S17="","",H$2:S$2&amp;"="&amp;H17:S17)))&amp;")"</f>
        <v>ice2_lname = models.CharField(max_length=30, blank=True, default='', null=False)</v>
      </c>
      <c r="V17" t="s">
        <v>206</v>
      </c>
      <c r="W17" s="25" t="s">
        <v>10</v>
      </c>
      <c r="X17" s="25" t="s">
        <v>190</v>
      </c>
      <c r="Y17" s="25"/>
      <c r="Z17" s="23"/>
      <c r="AA17" s="23"/>
      <c r="AB17" s="23"/>
      <c r="AC17" s="23"/>
      <c r="AD17" s="27">
        <v>30</v>
      </c>
      <c r="AE17" s="26" t="s">
        <v>212</v>
      </c>
      <c r="AF17" s="28" t="s">
        <v>192</v>
      </c>
      <c r="AG17" s="23" t="s">
        <v>249</v>
      </c>
      <c r="AH17" s="23"/>
      <c r="AI17" s="23"/>
      <c r="AJ17" s="23"/>
      <c r="AK17" s="23" t="s">
        <v>342</v>
      </c>
    </row>
    <row r="18" spans="1:39">
      <c r="A18" s="4"/>
      <c r="B18" s="6" t="s">
        <v>39</v>
      </c>
      <c r="C18" s="6" t="s">
        <v>14</v>
      </c>
      <c r="D18" s="6" t="str">
        <f t="array" ref="D18:S18" ca="1">IF(ISBLANK(VLOOKUP(C18,$W$3:$AM$105,COLUMN(OFFSET($B$1,0,0,1,16)),FALSE)),"",VLOOKUP(C18,$W$3:$AM$105,COLUMN(OFFSET($B$1,0,0,1,16)),FALSE))</f>
        <v>PhoneNumberField</v>
      </c>
      <c r="E18" s="8" t="str">
        <f ca="1"/>
        <v/>
      </c>
      <c r="F18" s="2" t="str">
        <f ca="1"/>
        <v/>
      </c>
      <c r="G18" s="9" t="str">
        <f ca="1"/>
        <v/>
      </c>
      <c r="H18" s="11" t="str">
        <f ca="1"/>
        <v/>
      </c>
      <c r="I18" s="2" t="str">
        <f ca="1"/>
        <v/>
      </c>
      <c r="J18" s="2" t="str">
        <f ca="1"/>
        <v/>
      </c>
      <c r="K18" s="2" t="str">
        <f ca="1"/>
        <v>True</v>
      </c>
      <c r="L18" s="2" t="str">
        <f ca="1"/>
        <v/>
      </c>
      <c r="M18" s="2" t="str">
        <f ca="1"/>
        <v/>
      </c>
      <c r="N18" s="2" t="str">
        <f ca="1"/>
        <v/>
      </c>
      <c r="O18" s="2" t="str">
        <f ca="1"/>
        <v/>
      </c>
      <c r="P18" s="2" t="str">
        <f ca="1"/>
        <v/>
      </c>
      <c r="Q18" s="2" t="str">
        <f ca="1"/>
        <v/>
      </c>
      <c r="R18" s="2" t="str">
        <f ca="1"/>
        <v/>
      </c>
      <c r="S18" s="9" t="str">
        <f ca="1"/>
        <v>'US'</v>
      </c>
      <c r="T18" t="s">
        <v>206</v>
      </c>
      <c r="U18" t="str" cm="1">
        <f t="array" aca="1" ref="U18" ca="1">B18&amp;" = "&amp;D18&amp;"("&amp;_xlfn.TEXTJOIN(", ",TRUE,_xlfn.TEXTJOIN(", ",TRUE,E18:G18),_xlfn.TEXTJOIN(", ",TRUE,IF(H18:S18="","",H$2:S$2&amp;"="&amp;H18:S18)))&amp;")"</f>
        <v>ice2_phone = PhoneNumberField(blank=True, region='US')</v>
      </c>
      <c r="V18" t="s">
        <v>206</v>
      </c>
      <c r="W18" s="25" t="s">
        <v>7</v>
      </c>
      <c r="X18" s="25" t="s">
        <v>194</v>
      </c>
      <c r="Y18" s="25"/>
      <c r="Z18" s="26"/>
      <c r="AA18" s="26"/>
      <c r="AB18" s="26"/>
      <c r="AC18" s="26"/>
      <c r="AD18" s="26"/>
      <c r="AE18" s="26" t="s">
        <v>212</v>
      </c>
      <c r="AF18" s="26" t="s">
        <v>196</v>
      </c>
      <c r="AG18" s="26" t="s">
        <v>212</v>
      </c>
      <c r="AH18" s="26"/>
      <c r="AI18" s="26"/>
      <c r="AJ18" s="26"/>
      <c r="AK18" s="23"/>
      <c r="AL18" s="23"/>
      <c r="AM18" s="23"/>
    </row>
    <row r="19" spans="1:39">
      <c r="A19" s="4"/>
      <c r="B19" s="6" t="s">
        <v>40</v>
      </c>
      <c r="C19" s="7" t="s">
        <v>267</v>
      </c>
      <c r="D19" s="6" t="str">
        <f t="array" ref="D19:S19" ca="1">IF(ISBLANK(VLOOKUP(C19,$W$3:$AM$105,COLUMN(OFFSET($B$1,0,0,1,16)),FALSE)),"",VLOOKUP(C19,$W$3:$AM$105,COLUMN(OFFSET($B$1,0,0,1,16)),FALSE))</f>
        <v>models.CharField</v>
      </c>
      <c r="E19" s="8" t="str">
        <f ca="1"/>
        <v/>
      </c>
      <c r="F19" s="2" t="str">
        <f ca="1"/>
        <v/>
      </c>
      <c r="G19" s="9" t="str">
        <f ca="1"/>
        <v/>
      </c>
      <c r="H19" s="11" t="str">
        <f ca="1"/>
        <v/>
      </c>
      <c r="I19" s="2" t="str">
        <f ca="1"/>
        <v/>
      </c>
      <c r="J19" s="2">
        <f ca="1"/>
        <v>30</v>
      </c>
      <c r="K19" s="2" t="str">
        <f ca="1"/>
        <v>True</v>
      </c>
      <c r="L19" s="2" t="str">
        <f ca="1"/>
        <v>''</v>
      </c>
      <c r="M19" s="2" t="str">
        <f ca="1"/>
        <v>False</v>
      </c>
      <c r="N19" s="2" t="str">
        <f ca="1"/>
        <v/>
      </c>
      <c r="O19" s="2" t="str">
        <f ca="1"/>
        <v/>
      </c>
      <c r="P19" s="2" t="str">
        <f ca="1"/>
        <v/>
      </c>
      <c r="Q19" s="2" t="str">
        <f ca="1"/>
        <v/>
      </c>
      <c r="R19" s="2" t="str">
        <f ca="1"/>
        <v/>
      </c>
      <c r="S19" s="9" t="str">
        <f ca="1"/>
        <v/>
      </c>
      <c r="T19" t="s">
        <v>206</v>
      </c>
      <c r="U19" t="str" cm="1">
        <f t="array" aca="1" ref="U19" ca="1">B19&amp;" = "&amp;D19&amp;"("&amp;_xlfn.TEXTJOIN(", ",TRUE,_xlfn.TEXTJOIN(", ",TRUE,E19:G19),_xlfn.TEXTJOIN(", ",TRUE,IF(H19:S19="","",H$2:S$2&amp;"="&amp;H19:S19)))&amp;")"</f>
        <v>ice2_relationship = models.CharField(max_length=30, blank=True, default='', null=False)</v>
      </c>
      <c r="V19" t="s">
        <v>206</v>
      </c>
      <c r="W19" s="25" t="s">
        <v>334</v>
      </c>
      <c r="X19" s="25" t="s">
        <v>194</v>
      </c>
      <c r="Y19" s="25"/>
      <c r="Z19" s="26"/>
      <c r="AA19" s="26"/>
      <c r="AB19" s="26"/>
      <c r="AC19" s="26"/>
      <c r="AD19" s="26"/>
      <c r="AE19" s="26" t="s">
        <v>212</v>
      </c>
      <c r="AF19" s="26" t="s">
        <v>337</v>
      </c>
      <c r="AG19" s="23" t="s">
        <v>249</v>
      </c>
      <c r="AH19" s="26"/>
      <c r="AI19" s="26"/>
      <c r="AJ19" s="26"/>
      <c r="AK19" s="23"/>
      <c r="AL19" s="23"/>
      <c r="AM19" s="23"/>
    </row>
    <row r="20" spans="1:39">
      <c r="A20" s="4"/>
      <c r="B20" s="6" t="s">
        <v>43</v>
      </c>
      <c r="C20" s="6" t="s">
        <v>213</v>
      </c>
      <c r="D20" s="6" t="str">
        <f t="array" ref="D20:S20" ca="1">IF(ISBLANK(VLOOKUP(C20,$W$3:$AM$105,COLUMN(OFFSET($B$1,0,0,1,16)),FALSE)),"",VLOOKUP(C20,$W$3:$AM$105,COLUMN(OFFSET($B$1,0,0,1,16)),FALSE))</f>
        <v>models.CharField</v>
      </c>
      <c r="E20" s="8" t="str">
        <f ca="1"/>
        <v/>
      </c>
      <c r="F20" s="2" t="str">
        <f ca="1"/>
        <v/>
      </c>
      <c r="G20" s="9" t="str">
        <f ca="1"/>
        <v/>
      </c>
      <c r="H20" s="11" t="str">
        <f ca="1"/>
        <v/>
      </c>
      <c r="I20" s="2" t="str">
        <f ca="1"/>
        <v/>
      </c>
      <c r="J20" s="2">
        <f ca="1"/>
        <v>100</v>
      </c>
      <c r="K20" s="2" t="str">
        <f ca="1"/>
        <v>True</v>
      </c>
      <c r="L20" s="2" t="str">
        <f ca="1"/>
        <v>''</v>
      </c>
      <c r="M20" s="2" t="str">
        <f ca="1"/>
        <v>False</v>
      </c>
      <c r="N20" s="2" t="str">
        <f ca="1"/>
        <v/>
      </c>
      <c r="O20" s="2" t="str">
        <f ca="1"/>
        <v/>
      </c>
      <c r="P20" s="2" t="str">
        <f ca="1"/>
        <v/>
      </c>
      <c r="Q20" s="2" t="str">
        <f ca="1"/>
        <v/>
      </c>
      <c r="R20" s="2" t="str">
        <f ca="1"/>
        <v/>
      </c>
      <c r="S20" s="9" t="str">
        <f ca="1"/>
        <v/>
      </c>
      <c r="T20" t="s">
        <v>206</v>
      </c>
      <c r="U20" t="str" cm="1">
        <f t="array" aca="1" ref="U20" ca="1">B20&amp;" = "&amp;D20&amp;"("&amp;_xlfn.TEXTJOIN(", ",TRUE,_xlfn.TEXTJOIN(", ",TRUE,E20:G20),_xlfn.TEXTJOIN(", ",TRUE,IF(H20:S20="","",H$2:S$2&amp;"="&amp;H20:S20)))&amp;")"</f>
        <v>exit_reason = models.CharField(max_length=100, blank=True, default='', null=False)</v>
      </c>
      <c r="V20" t="s">
        <v>206</v>
      </c>
      <c r="W20" s="25" t="s">
        <v>336</v>
      </c>
      <c r="X20" s="25" t="s">
        <v>194</v>
      </c>
      <c r="Y20" s="25"/>
      <c r="Z20" s="26"/>
      <c r="AA20" s="26"/>
      <c r="AB20" s="26"/>
      <c r="AC20" s="26"/>
      <c r="AD20" s="26"/>
      <c r="AE20" s="26" t="s">
        <v>212</v>
      </c>
      <c r="AF20" s="26" t="s">
        <v>338</v>
      </c>
      <c r="AG20" s="23" t="s">
        <v>249</v>
      </c>
      <c r="AH20" s="26"/>
      <c r="AI20" s="26"/>
      <c r="AJ20" s="26"/>
      <c r="AK20" s="23"/>
      <c r="AL20" s="23"/>
      <c r="AM20" s="23"/>
    </row>
    <row r="21" spans="1:39">
      <c r="A21" s="4"/>
      <c r="B21" s="6" t="s">
        <v>41</v>
      </c>
      <c r="C21" s="6" t="s">
        <v>335</v>
      </c>
      <c r="D21" s="6" t="str">
        <f t="array" ref="D21:S21" ca="1">IF(ISBLANK(VLOOKUP(C21,$W$3:$AM$105,COLUMN(OFFSET($B$1,0,0,1,16)),FALSE)),"",VLOOKUP(C21,$W$3:$AM$105,COLUMN(OFFSET($B$1,0,0,1,16)),FALSE))</f>
        <v>models.DateField</v>
      </c>
      <c r="E21" s="8" t="str">
        <f ca="1"/>
        <v/>
      </c>
      <c r="F21" s="2" t="str">
        <f ca="1"/>
        <v/>
      </c>
      <c r="G21" s="9" t="str">
        <f ca="1"/>
        <v/>
      </c>
      <c r="H21" s="11" t="str">
        <f ca="1"/>
        <v/>
      </c>
      <c r="I21" s="2" t="str">
        <f ca="1"/>
        <v/>
      </c>
      <c r="J21" s="2" t="str">
        <f ca="1"/>
        <v/>
      </c>
      <c r="K21" s="2" t="str">
        <f ca="1"/>
        <v>True</v>
      </c>
      <c r="L21" s="2" t="str">
        <f ca="1"/>
        <v>DEFAULT_START_DATE</v>
      </c>
      <c r="M21" s="2" t="str">
        <f ca="1"/>
        <v>False</v>
      </c>
      <c r="N21" s="2" t="str">
        <f ca="1"/>
        <v/>
      </c>
      <c r="O21" s="2" t="str">
        <f ca="1"/>
        <v/>
      </c>
      <c r="P21" s="2" t="str">
        <f ca="1"/>
        <v/>
      </c>
      <c r="Q21" s="2" t="str">
        <f ca="1"/>
        <v/>
      </c>
      <c r="R21" s="2" t="str">
        <f ca="1"/>
        <v/>
      </c>
      <c r="S21" s="9" t="str">
        <f ca="1"/>
        <v/>
      </c>
      <c r="T21" t="s">
        <v>206</v>
      </c>
      <c r="U21" t="str" cm="1">
        <f t="array" aca="1" ref="U21" ca="1">B21&amp;" = "&amp;D21&amp;"("&amp;_xlfn.TEXTJOIN(", ",TRUE,_xlfn.TEXTJOIN(", ",TRUE,E21:G21),_xlfn.TEXTJOIN(", ",TRUE,IF(H21:S21="","",H$2:S$2&amp;"="&amp;H21:S21)))&amp;")"</f>
        <v>start_date = models.DateField(blank=True, default=DEFAULT_START_DATE, null=False)</v>
      </c>
      <c r="V21" t="s">
        <v>206</v>
      </c>
      <c r="W21" s="25" t="s">
        <v>335</v>
      </c>
      <c r="X21" s="25" t="s">
        <v>194</v>
      </c>
      <c r="Y21" s="25"/>
      <c r="Z21" s="26"/>
      <c r="AA21" s="26"/>
      <c r="AB21" s="26"/>
      <c r="AC21" s="26"/>
      <c r="AD21" s="26"/>
      <c r="AE21" s="26" t="s">
        <v>212</v>
      </c>
      <c r="AF21" s="26" t="s">
        <v>339</v>
      </c>
      <c r="AG21" s="23" t="s">
        <v>249</v>
      </c>
      <c r="AH21" s="26"/>
      <c r="AI21" s="26"/>
      <c r="AJ21" s="26"/>
      <c r="AK21" s="23"/>
      <c r="AL21" s="23"/>
      <c r="AM21" s="23"/>
    </row>
    <row r="22" spans="1:39">
      <c r="A22" s="4"/>
      <c r="B22" s="6" t="s">
        <v>42</v>
      </c>
      <c r="C22" s="6" t="s">
        <v>336</v>
      </c>
      <c r="D22" s="6" t="str">
        <f t="array" ref="D22:S22" ca="1">IF(ISBLANK(VLOOKUP(C22,$W$3:$AM$105,COLUMN(OFFSET($B$1,0,0,1,16)),FALSE)),"",VLOOKUP(C22,$W$3:$AM$105,COLUMN(OFFSET($B$1,0,0,1,16)),FALSE))</f>
        <v>models.DateField</v>
      </c>
      <c r="E22" s="8" t="str">
        <f ca="1"/>
        <v/>
      </c>
      <c r="F22" s="2" t="str">
        <f ca="1"/>
        <v/>
      </c>
      <c r="G22" s="9" t="str">
        <f ca="1"/>
        <v/>
      </c>
      <c r="H22" s="11" t="str">
        <f ca="1"/>
        <v/>
      </c>
      <c r="I22" s="2" t="str">
        <f ca="1"/>
        <v/>
      </c>
      <c r="J22" s="2" t="str">
        <f ca="1"/>
        <v/>
      </c>
      <c r="K22" s="2" t="str">
        <f ca="1"/>
        <v>True</v>
      </c>
      <c r="L22" s="2" t="str">
        <f ca="1"/>
        <v>DEFAULT_END_DATE</v>
      </c>
      <c r="M22" s="2" t="str">
        <f ca="1"/>
        <v>False</v>
      </c>
      <c r="N22" s="2" t="str">
        <f ca="1"/>
        <v/>
      </c>
      <c r="O22" s="2" t="str">
        <f ca="1"/>
        <v/>
      </c>
      <c r="P22" s="2" t="str">
        <f ca="1"/>
        <v/>
      </c>
      <c r="Q22" s="2" t="str">
        <f ca="1"/>
        <v/>
      </c>
      <c r="R22" s="2" t="str">
        <f ca="1"/>
        <v/>
      </c>
      <c r="S22" s="9" t="str">
        <f ca="1"/>
        <v/>
      </c>
      <c r="T22" t="s">
        <v>206</v>
      </c>
      <c r="U22" t="str" cm="1">
        <f t="array" aca="1" ref="U22" ca="1">B22&amp;" = "&amp;D22&amp;"("&amp;_xlfn.TEXTJOIN(", ",TRUE,_xlfn.TEXTJOIN(", ",TRUE,E22:G22),_xlfn.TEXTJOIN(", ",TRUE,IF(H22:S22="","",H$2:S$2&amp;"="&amp;H22:S22)))&amp;")"</f>
        <v>end_date = models.DateField(blank=True, default=DEFAULT_END_DATE, null=False)</v>
      </c>
      <c r="V22" t="s">
        <v>206</v>
      </c>
      <c r="W22" s="25" t="s">
        <v>208</v>
      </c>
      <c r="X22" s="25" t="s">
        <v>197</v>
      </c>
      <c r="Y22" s="25"/>
      <c r="Z22" s="26"/>
      <c r="AA22" s="26"/>
      <c r="AB22" s="26"/>
      <c r="AC22" s="26"/>
      <c r="AD22" s="26"/>
      <c r="AE22" s="26" t="s">
        <v>212</v>
      </c>
      <c r="AF22" s="26" t="s">
        <v>196</v>
      </c>
      <c r="AG22" s="26" t="s">
        <v>212</v>
      </c>
      <c r="AH22" s="26"/>
      <c r="AI22" s="29">
        <v>8</v>
      </c>
      <c r="AJ22" s="26">
        <v>2</v>
      </c>
      <c r="AK22" s="23"/>
      <c r="AL22" s="23"/>
      <c r="AM22" s="23"/>
    </row>
    <row r="23" spans="1:39">
      <c r="A23" s="4"/>
      <c r="B23" s="6" t="s">
        <v>28</v>
      </c>
      <c r="C23" s="7" t="s">
        <v>267</v>
      </c>
      <c r="D23" s="6" t="str">
        <f t="array" ref="D23:S23" ca="1">IF(ISBLANK(VLOOKUP(C23,$W$3:$AM$105,COLUMN(OFFSET($B$1,0,0,1,16)),FALSE)),"",VLOOKUP(C23,$W$3:$AM$105,COLUMN(OFFSET($B$1,0,0,1,16)),FALSE))</f>
        <v>models.CharField</v>
      </c>
      <c r="E23" s="8" t="str">
        <f ca="1"/>
        <v/>
      </c>
      <c r="F23" s="2" t="str">
        <f ca="1"/>
        <v/>
      </c>
      <c r="G23" s="9" t="str">
        <f ca="1"/>
        <v/>
      </c>
      <c r="H23" s="11" t="str">
        <f ca="1"/>
        <v/>
      </c>
      <c r="I23" s="2" t="str">
        <f ca="1"/>
        <v/>
      </c>
      <c r="J23" s="2">
        <f ca="1"/>
        <v>30</v>
      </c>
      <c r="K23" s="2" t="str">
        <f ca="1"/>
        <v>True</v>
      </c>
      <c r="L23" s="2" t="str">
        <f ca="1"/>
        <v>''</v>
      </c>
      <c r="M23" s="2" t="str">
        <f ca="1"/>
        <v>False</v>
      </c>
      <c r="N23" s="2" t="str">
        <f ca="1"/>
        <v/>
      </c>
      <c r="O23" s="2" t="str">
        <f ca="1"/>
        <v/>
      </c>
      <c r="P23" s="2" t="str">
        <f ca="1"/>
        <v/>
      </c>
      <c r="Q23" s="2" t="str">
        <f ca="1"/>
        <v/>
      </c>
      <c r="R23" s="2" t="str">
        <f ca="1"/>
        <v/>
      </c>
      <c r="S23" s="9" t="str">
        <f ca="1"/>
        <v/>
      </c>
      <c r="T23" t="s">
        <v>206</v>
      </c>
      <c r="U23" t="str" cm="1">
        <f t="array" aca="1" ref="U23" ca="1">B23&amp;" = "&amp;D23&amp;"("&amp;_xlfn.TEXTJOIN(", ",TRUE,_xlfn.TEXTJOIN(", ",TRUE,E23:G23),_xlfn.TEXTJOIN(", ",TRUE,IF(H23:S23="","",H$2:S$2&amp;"="&amp;H23:S23)))&amp;")"</f>
        <v>title = models.CharField(max_length=30, blank=True, default='', null=False)</v>
      </c>
      <c r="V23" t="s">
        <v>206</v>
      </c>
      <c r="W23" s="25" t="s">
        <v>229</v>
      </c>
      <c r="X23" s="25" t="s">
        <v>285</v>
      </c>
      <c r="Y23" s="25"/>
      <c r="Z23" s="23"/>
      <c r="AA23" s="23"/>
      <c r="AB23" s="23"/>
      <c r="AC23" s="23"/>
      <c r="AD23" s="26"/>
      <c r="AE23" s="26" t="s">
        <v>212</v>
      </c>
      <c r="AF23" s="26" t="s">
        <v>196</v>
      </c>
      <c r="AG23" s="26" t="s">
        <v>212</v>
      </c>
      <c r="AH23" s="23" t="s">
        <v>219</v>
      </c>
      <c r="AI23" s="26"/>
      <c r="AJ23" s="23"/>
      <c r="AK23" s="23"/>
      <c r="AL23" s="23"/>
      <c r="AM23" s="23"/>
    </row>
    <row r="24" spans="1:39">
      <c r="A24" s="4"/>
      <c r="B24" s="6" t="s">
        <v>30</v>
      </c>
      <c r="C24" s="6" t="s">
        <v>208</v>
      </c>
      <c r="D24" s="6" t="str">
        <f t="array" ref="D24:S24" ca="1">IF(ISBLANK(VLOOKUP(C24,$W$3:$AM$105,COLUMN(OFFSET($B$1,0,0,1,16)),FALSE)),"",VLOOKUP(C24,$W$3:$AM$105,COLUMN(OFFSET($B$1,0,0,1,16)),FALSE))</f>
        <v>models.DecimalField</v>
      </c>
      <c r="E24" s="8" t="str">
        <f ca="1"/>
        <v/>
      </c>
      <c r="F24" s="2" t="str">
        <f ca="1"/>
        <v/>
      </c>
      <c r="G24" s="9" t="str">
        <f ca="1"/>
        <v/>
      </c>
      <c r="H24" s="11" t="str">
        <f ca="1"/>
        <v/>
      </c>
      <c r="I24" s="2" t="str">
        <f ca="1"/>
        <v/>
      </c>
      <c r="J24" s="2" t="str">
        <f ca="1"/>
        <v/>
      </c>
      <c r="K24" s="2" t="str">
        <f ca="1"/>
        <v>True</v>
      </c>
      <c r="L24" s="2" t="str">
        <f ca="1"/>
        <v>None</v>
      </c>
      <c r="M24" s="2" t="str">
        <f ca="1"/>
        <v>True</v>
      </c>
      <c r="N24" s="2" t="str">
        <f ca="1"/>
        <v/>
      </c>
      <c r="O24" s="2">
        <f ca="1"/>
        <v>8</v>
      </c>
      <c r="P24" s="2">
        <f ca="1"/>
        <v>2</v>
      </c>
      <c r="Q24" s="2" t="str">
        <f ca="1"/>
        <v/>
      </c>
      <c r="R24" s="2" t="str">
        <f ca="1"/>
        <v/>
      </c>
      <c r="S24" s="9" t="str">
        <f ca="1"/>
        <v/>
      </c>
      <c r="T24" t="s">
        <v>206</v>
      </c>
      <c r="U24" t="str" cm="1">
        <f t="array" aca="1" ref="U24" ca="1">B24&amp;" = "&amp;D24&amp;"("&amp;_xlfn.TEXTJOIN(", ",TRUE,_xlfn.TEXTJOIN(", ",TRUE,E24:G24),_xlfn.TEXTJOIN(", ",TRUE,IF(H24:S24="","",H$2:S$2&amp;"="&amp;H24:S24)))&amp;")"</f>
        <v>hourly_rate = models.DecimalField(blank=True, default=None, null=True, max_digits=8, decimal_places=2)</v>
      </c>
      <c r="V24" t="s">
        <v>206</v>
      </c>
      <c r="W24" s="25" t="s">
        <v>258</v>
      </c>
      <c r="X24" s="23" t="s">
        <v>242</v>
      </c>
      <c r="Y24" s="25" t="s">
        <v>1</v>
      </c>
      <c r="Z24" s="23"/>
      <c r="AA24" s="23"/>
      <c r="AB24" s="23" t="s">
        <v>237</v>
      </c>
      <c r="AC24" s="23"/>
      <c r="AD24" s="26"/>
      <c r="AE24" s="26" t="s">
        <v>212</v>
      </c>
      <c r="AF24" s="26" t="s">
        <v>196</v>
      </c>
      <c r="AG24" s="26" t="s">
        <v>212</v>
      </c>
      <c r="AH24" s="23"/>
      <c r="AI24" s="23"/>
      <c r="AJ24" s="23"/>
      <c r="AK24" s="23"/>
      <c r="AL24" s="30"/>
      <c r="AM24" s="30"/>
    </row>
    <row r="25" spans="1:39">
      <c r="B25" s="6" t="s">
        <v>21</v>
      </c>
      <c r="C25" s="6" t="s">
        <v>209</v>
      </c>
      <c r="D25" s="6" t="str">
        <f t="array" ref="D25:S25" ca="1">IF(ISBLANK(VLOOKUP(C25,$W$3:$AM$105,COLUMN(OFFSET($B$1,0,0,1,16)),FALSE)),"",VLOOKUP(C25,$W$3:$AM$105,COLUMN(OFFSET($B$1,0,0,1,16)),FALSE))</f>
        <v>models.ImageField</v>
      </c>
      <c r="E25" s="8" t="str">
        <f ca="1"/>
        <v/>
      </c>
      <c r="F25" s="2" t="str">
        <f ca="1"/>
        <v/>
      </c>
      <c r="G25" s="9" t="str">
        <f ca="1"/>
        <v/>
      </c>
      <c r="H25" s="11" t="str">
        <f ca="1"/>
        <v/>
      </c>
      <c r="I25" s="2" t="str">
        <f ca="1"/>
        <v/>
      </c>
      <c r="J25" s="2" t="str">
        <f ca="1"/>
        <v/>
      </c>
      <c r="K25" s="2" t="str">
        <f ca="1"/>
        <v>True</v>
      </c>
      <c r="L25" s="2" t="str">
        <f ca="1"/>
        <v>''</v>
      </c>
      <c r="M25" s="2" t="str">
        <f ca="1"/>
        <v>False</v>
      </c>
      <c r="N25" s="2" t="str">
        <f ca="1"/>
        <v>EMP_IMG</v>
      </c>
      <c r="O25" s="2" t="str">
        <f ca="1"/>
        <v/>
      </c>
      <c r="P25" s="2" t="str">
        <f ca="1"/>
        <v/>
      </c>
      <c r="Q25" s="2" t="str">
        <f ca="1"/>
        <v/>
      </c>
      <c r="R25" s="2" t="str">
        <f ca="1"/>
        <v/>
      </c>
      <c r="S25" s="9" t="str">
        <f ca="1"/>
        <v/>
      </c>
      <c r="T25" t="s">
        <v>206</v>
      </c>
      <c r="U25" t="str" cm="1">
        <f t="array" aca="1" ref="U25" ca="1">B25&amp;" = "&amp;D25&amp;"("&amp;_xlfn.TEXTJOIN(", ",TRUE,_xlfn.TEXTJOIN(", ",TRUE,E25:G25),_xlfn.TEXTJOIN(", ",TRUE,IF(H25:S25="","",H$2:S$2&amp;"="&amp;H25:S25)))&amp;")"</f>
        <v>image = models.ImageField(blank=True, default='', null=False, upload_to=EMP_IMG)</v>
      </c>
      <c r="V25" t="s">
        <v>206</v>
      </c>
      <c r="W25" s="25" t="s">
        <v>244</v>
      </c>
      <c r="X25" s="23" t="s">
        <v>242</v>
      </c>
      <c r="Y25" s="25" t="s">
        <v>94</v>
      </c>
      <c r="Z25" s="23"/>
      <c r="AA25" s="23"/>
      <c r="AB25" s="23" t="s">
        <v>237</v>
      </c>
      <c r="AC25" s="23"/>
      <c r="AD25" s="26"/>
      <c r="AE25" s="26" t="s">
        <v>212</v>
      </c>
      <c r="AF25" s="26" t="s">
        <v>196</v>
      </c>
      <c r="AG25" s="26" t="s">
        <v>212</v>
      </c>
      <c r="AH25" s="23"/>
      <c r="AI25" s="23"/>
      <c r="AJ25" s="23"/>
      <c r="AK25" s="23"/>
      <c r="AL25" s="30"/>
      <c r="AM25" s="30"/>
    </row>
    <row r="26" spans="1:39">
      <c r="A26" s="5" t="s">
        <v>73</v>
      </c>
      <c r="B26" s="5" t="s">
        <v>2</v>
      </c>
      <c r="C26" s="6" t="s">
        <v>403</v>
      </c>
      <c r="D26" s="6" t="str">
        <f t="array" ref="D26:S26" ca="1">IF(ISBLANK(VLOOKUP(C26,$W$3:$AM$105,COLUMN(OFFSET($B$1,0,0,1,16)),FALSE)),"",VLOOKUP(C26,$W$3:$AM$105,COLUMN(OFFSET($B$1,0,0,1,16)),FALSE))</f>
        <v>models.OneToOneField</v>
      </c>
      <c r="E26" s="8" t="str">
        <f ca="1"/>
        <v>ExtendedUser</v>
      </c>
      <c r="F26" s="2" t="str">
        <f ca="1"/>
        <v/>
      </c>
      <c r="G26" s="9" t="str">
        <f ca="1"/>
        <v/>
      </c>
      <c r="H26" s="11" t="str">
        <f ca="1"/>
        <v>models.CASCADE</v>
      </c>
      <c r="I26" s="2" t="str">
        <f ca="1"/>
        <v>True</v>
      </c>
      <c r="J26" s="2" t="str">
        <f ca="1"/>
        <v/>
      </c>
      <c r="K26" s="2" t="str">
        <f ca="1"/>
        <v/>
      </c>
      <c r="L26" s="2" t="str">
        <f ca="1"/>
        <v/>
      </c>
      <c r="M26" s="2" t="str">
        <f ca="1"/>
        <v/>
      </c>
      <c r="N26" s="2" t="str">
        <f ca="1"/>
        <v/>
      </c>
      <c r="O26" s="2" t="str">
        <f ca="1"/>
        <v/>
      </c>
      <c r="P26" s="2" t="str">
        <f ca="1"/>
        <v/>
      </c>
      <c r="Q26" s="2" t="str">
        <f ca="1"/>
        <v/>
      </c>
      <c r="R26" s="2" t="str">
        <f ca="1"/>
        <v/>
      </c>
      <c r="S26" s="9" t="str">
        <f ca="1"/>
        <v/>
      </c>
      <c r="T26" t="s">
        <v>206</v>
      </c>
      <c r="U26" t="str" cm="1">
        <f t="array" aca="1" ref="U26" ca="1">B26&amp;" = "&amp;D26&amp;"("&amp;_xlfn.TEXTJOIN(", ",TRUE,_xlfn.TEXTJOIN(", ",TRUE,E26:G26),_xlfn.TEXTJOIN(", ",TRUE,IF(H26:S26="","",H$2:S$2&amp;"="&amp;H26:S26)))&amp;")"</f>
        <v>user = models.OneToOneField(ExtendedUser, on_delete=models.CASCADE, primary_key=True)</v>
      </c>
      <c r="V26" t="s">
        <v>206</v>
      </c>
      <c r="W26" s="25" t="s">
        <v>260</v>
      </c>
      <c r="X26" s="23" t="s">
        <v>242</v>
      </c>
      <c r="Y26" s="25" t="s">
        <v>85</v>
      </c>
      <c r="Z26" s="23"/>
      <c r="AA26" s="23"/>
      <c r="AB26" s="23" t="s">
        <v>237</v>
      </c>
      <c r="AC26" s="23"/>
      <c r="AD26" s="26"/>
      <c r="AE26" s="26" t="s">
        <v>212</v>
      </c>
      <c r="AF26" s="26" t="s">
        <v>196</v>
      </c>
      <c r="AG26" s="26" t="s">
        <v>212</v>
      </c>
      <c r="AH26" s="23"/>
      <c r="AI26" s="23"/>
      <c r="AJ26" s="23"/>
      <c r="AK26" s="23"/>
      <c r="AL26" s="23"/>
      <c r="AM26" s="23"/>
    </row>
    <row r="27" spans="1:39">
      <c r="B27" s="5" t="s">
        <v>18</v>
      </c>
      <c r="C27" s="6" t="s">
        <v>224</v>
      </c>
      <c r="D27" s="6" t="str">
        <f t="array" ref="D27:S27" ca="1">IF(ISBLANK(VLOOKUP(C27,$W$3:$AM$105,COLUMN(OFFSET($B$1,0,0,1,16)),FALSE)),"",VLOOKUP(C27,$W$3:$AM$105,COLUMN(OFFSET($B$1,0,0,1,16)),FALSE))</f>
        <v>models.ImageField</v>
      </c>
      <c r="E27" s="8" t="str">
        <f ca="1"/>
        <v/>
      </c>
      <c r="F27" s="2" t="str">
        <f ca="1"/>
        <v/>
      </c>
      <c r="G27" s="9" t="str">
        <f ca="1"/>
        <v/>
      </c>
      <c r="H27" s="11" t="str">
        <f ca="1"/>
        <v/>
      </c>
      <c r="I27" s="2" t="str">
        <f ca="1"/>
        <v/>
      </c>
      <c r="J27" s="2" t="str">
        <f ca="1"/>
        <v/>
      </c>
      <c r="K27" s="2" t="str">
        <f ca="1"/>
        <v>True</v>
      </c>
      <c r="L27" s="2" t="str">
        <f ca="1"/>
        <v>''</v>
      </c>
      <c r="M27" s="2" t="str">
        <f ca="1"/>
        <v>False</v>
      </c>
      <c r="N27" s="2" t="str">
        <f ca="1"/>
        <v>SHP_WAV</v>
      </c>
      <c r="O27" s="2" t="str">
        <f ca="1"/>
        <v/>
      </c>
      <c r="P27" s="2" t="str">
        <f ca="1"/>
        <v/>
      </c>
      <c r="Q27" s="2" t="str">
        <f ca="1"/>
        <v/>
      </c>
      <c r="R27" s="2" t="str">
        <f ca="1"/>
        <v/>
      </c>
      <c r="S27" s="9" t="str">
        <f ca="1"/>
        <v/>
      </c>
      <c r="T27" t="s">
        <v>206</v>
      </c>
      <c r="U27" t="str" cm="1">
        <f t="array" aca="1" ref="U27" ca="1">B27&amp;" = "&amp;D27&amp;"("&amp;_xlfn.TEXTJOIN(", ",TRUE,_xlfn.TEXTJOIN(", ",TRUE,E27:G27),_xlfn.TEXTJOIN(", ",TRUE,IF(H27:S27="","",H$2:S$2&amp;"="&amp;H27:S27)))&amp;")"</f>
        <v>waiver_image = models.ImageField(blank=True, default='', null=False, upload_to=SHP_WAV)</v>
      </c>
      <c r="V27" t="s">
        <v>206</v>
      </c>
      <c r="W27" s="25" t="s">
        <v>261</v>
      </c>
      <c r="X27" s="23" t="s">
        <v>242</v>
      </c>
      <c r="Y27" s="25" t="s">
        <v>262</v>
      </c>
      <c r="Z27" s="23"/>
      <c r="AA27" s="23"/>
      <c r="AB27" s="23" t="s">
        <v>237</v>
      </c>
      <c r="AC27" s="23"/>
      <c r="AD27" s="26"/>
      <c r="AE27" s="26" t="s">
        <v>212</v>
      </c>
      <c r="AF27" s="26" t="s">
        <v>196</v>
      </c>
      <c r="AG27" s="26" t="s">
        <v>212</v>
      </c>
      <c r="AH27" s="23"/>
      <c r="AI27" s="23"/>
      <c r="AJ27" s="23"/>
      <c r="AK27" s="23"/>
      <c r="AL27" s="23"/>
      <c r="AM27" s="23"/>
    </row>
    <row r="28" spans="1:39">
      <c r="B28" s="5" t="s">
        <v>17</v>
      </c>
      <c r="C28" s="6" t="s">
        <v>7</v>
      </c>
      <c r="D28" s="6" t="str">
        <f t="array" ref="D28:S28" ca="1">IF(ISBLANK(VLOOKUP(C28,$W$3:$AM$105,COLUMN(OFFSET($B$1,0,0,1,16)),FALSE)),"",VLOOKUP(C28,$W$3:$AM$105,COLUMN(OFFSET($B$1,0,0,1,16)),FALSE))</f>
        <v>models.DateField</v>
      </c>
      <c r="E28" s="8" t="str">
        <f ca="1"/>
        <v/>
      </c>
      <c r="F28" s="2" t="str">
        <f ca="1"/>
        <v/>
      </c>
      <c r="G28" s="9" t="str">
        <f ca="1"/>
        <v/>
      </c>
      <c r="H28" s="11" t="str">
        <f ca="1"/>
        <v/>
      </c>
      <c r="I28" s="2" t="str">
        <f ca="1"/>
        <v/>
      </c>
      <c r="J28" s="2" t="str">
        <f ca="1"/>
        <v/>
      </c>
      <c r="K28" s="2" t="str">
        <f ca="1"/>
        <v>True</v>
      </c>
      <c r="L28" s="2" t="str">
        <f ca="1"/>
        <v>None</v>
      </c>
      <c r="M28" s="2" t="str">
        <f ca="1"/>
        <v>True</v>
      </c>
      <c r="N28" s="2" t="str">
        <f ca="1"/>
        <v/>
      </c>
      <c r="O28" s="2" t="str">
        <f ca="1"/>
        <v/>
      </c>
      <c r="P28" s="2" t="str">
        <f ca="1"/>
        <v/>
      </c>
      <c r="Q28" s="2" t="str">
        <f ca="1"/>
        <v/>
      </c>
      <c r="R28" s="2" t="str">
        <f ca="1"/>
        <v/>
      </c>
      <c r="S28" s="9" t="str">
        <f ca="1"/>
        <v/>
      </c>
      <c r="T28" t="s">
        <v>206</v>
      </c>
      <c r="U28" t="str" cm="1">
        <f t="array" aca="1" ref="U28" ca="1">B28&amp;" = "&amp;D28&amp;"("&amp;_xlfn.TEXTJOIN(", ",TRUE,_xlfn.TEXTJOIN(", ",TRUE,E28:G28),_xlfn.TEXTJOIN(", ",TRUE,IF(H28:S28="","",H$2:S$2&amp;"="&amp;H28:S28)))&amp;")"</f>
        <v>waiver_date = models.DateField(blank=True, default=None, null=True)</v>
      </c>
      <c r="V28" t="s">
        <v>206</v>
      </c>
      <c r="W28" s="25" t="s">
        <v>241</v>
      </c>
      <c r="X28" s="23" t="s">
        <v>242</v>
      </c>
      <c r="Y28" s="25" t="s">
        <v>27</v>
      </c>
      <c r="Z28" s="23"/>
      <c r="AA28" s="23"/>
      <c r="AB28" s="23" t="s">
        <v>237</v>
      </c>
      <c r="AC28" s="23"/>
      <c r="AD28" s="26"/>
      <c r="AE28" s="26" t="s">
        <v>212</v>
      </c>
      <c r="AF28" s="26" t="s">
        <v>196</v>
      </c>
      <c r="AG28" s="26" t="s">
        <v>212</v>
      </c>
      <c r="AH28" s="23"/>
      <c r="AI28" s="23"/>
      <c r="AJ28" s="23"/>
      <c r="AK28" s="23"/>
      <c r="AL28" s="30"/>
      <c r="AM28" s="30"/>
    </row>
    <row r="29" spans="1:39">
      <c r="B29" s="5" t="s">
        <v>74</v>
      </c>
      <c r="C29" s="6" t="s">
        <v>232</v>
      </c>
      <c r="D29" s="6" t="str">
        <f t="array" ref="D29:S29" ca="1">IF(ISBLANK(VLOOKUP(C29,$W$3:$AM$105,COLUMN(OFFSET($B$1,0,0,1,16)),FALSE)),"",VLOOKUP(C29,$W$3:$AM$105,COLUMN(OFFSET($B$1,0,0,1,16)),FALSE))</f>
        <v>models.CharField</v>
      </c>
      <c r="E29" s="8" t="str">
        <f ca="1"/>
        <v/>
      </c>
      <c r="F29" s="2" t="str">
        <f ca="1"/>
        <v/>
      </c>
      <c r="G29" s="9" t="str">
        <f ca="1"/>
        <v/>
      </c>
      <c r="H29" s="11" t="str">
        <f ca="1"/>
        <v/>
      </c>
      <c r="I29" s="2" t="str">
        <f ca="1"/>
        <v/>
      </c>
      <c r="J29" s="2">
        <f ca="1"/>
        <v>50</v>
      </c>
      <c r="K29" s="2" t="str">
        <f ca="1"/>
        <v>True</v>
      </c>
      <c r="L29" s="2" t="str">
        <f ca="1"/>
        <v>''</v>
      </c>
      <c r="M29" s="2" t="str">
        <f ca="1"/>
        <v>False</v>
      </c>
      <c r="N29" s="2" t="str">
        <f ca="1"/>
        <v/>
      </c>
      <c r="O29" s="2" t="str">
        <f ca="1"/>
        <v/>
      </c>
      <c r="P29" s="2" t="str">
        <f ca="1"/>
        <v/>
      </c>
      <c r="Q29" s="2" t="str">
        <f ca="1"/>
        <v>EMAIL_PREFERENCES_LIST</v>
      </c>
      <c r="R29" s="2" t="str">
        <f ca="1"/>
        <v/>
      </c>
      <c r="S29" s="9" t="str">
        <f ca="1"/>
        <v/>
      </c>
      <c r="T29" t="s">
        <v>206</v>
      </c>
      <c r="U29" t="str" cm="1">
        <f t="array" aca="1" ref="U29" ca="1">B29&amp;" = "&amp;D29&amp;"("&amp;_xlfn.TEXTJOIN(", ",TRUE,_xlfn.TEXTJOIN(", ",TRUE,E29:G29),_xlfn.TEXTJOIN(", ",TRUE,IF(H29:S29="","",H$2:S$2&amp;"="&amp;H29:S29)))&amp;")"</f>
        <v>email_preferences = models.CharField(max_length=50, blank=True, default='', null=False, choices=EMAIL_PREFERENCES_LIST)</v>
      </c>
      <c r="V29" t="s">
        <v>206</v>
      </c>
      <c r="W29" s="25" t="s">
        <v>246</v>
      </c>
      <c r="X29" s="23" t="s">
        <v>242</v>
      </c>
      <c r="Y29" s="25" t="s">
        <v>27</v>
      </c>
      <c r="Z29" s="23"/>
      <c r="AA29" s="23"/>
      <c r="AB29" s="23" t="s">
        <v>237</v>
      </c>
      <c r="AC29" s="23"/>
      <c r="AD29" s="26"/>
      <c r="AE29" s="26" t="s">
        <v>212</v>
      </c>
      <c r="AF29" s="26" t="s">
        <v>196</v>
      </c>
      <c r="AG29" s="26" t="s">
        <v>212</v>
      </c>
      <c r="AH29" s="23"/>
      <c r="AI29" s="23"/>
      <c r="AJ29" s="23"/>
      <c r="AK29" s="23"/>
      <c r="AL29" s="30" t="s">
        <v>239</v>
      </c>
      <c r="AM29" s="30"/>
    </row>
    <row r="30" spans="1:39">
      <c r="A30" s="5" t="s">
        <v>1</v>
      </c>
      <c r="B30" s="5" t="s">
        <v>2</v>
      </c>
      <c r="C30" s="6" t="s">
        <v>403</v>
      </c>
      <c r="D30" s="6" t="str">
        <f t="array" ref="D30:S30" ca="1">IF(ISBLANK(VLOOKUP(C30,$W$3:$AM$105,COLUMN(OFFSET($B$1,0,0,1,16)),FALSE)),"",VLOOKUP(C30,$W$3:$AM$105,COLUMN(OFFSET($B$1,0,0,1,16)),FALSE))</f>
        <v>models.OneToOneField</v>
      </c>
      <c r="E30" s="8" t="str">
        <f ca="1"/>
        <v>ExtendedUser</v>
      </c>
      <c r="F30" s="2" t="str">
        <f ca="1"/>
        <v/>
      </c>
      <c r="G30" s="9" t="str">
        <f ca="1"/>
        <v/>
      </c>
      <c r="H30" s="11" t="str">
        <f ca="1"/>
        <v>models.CASCADE</v>
      </c>
      <c r="I30" s="2" t="str">
        <f ca="1"/>
        <v>True</v>
      </c>
      <c r="J30" s="2" t="str">
        <f ca="1"/>
        <v/>
      </c>
      <c r="K30" s="2" t="str">
        <f ca="1"/>
        <v/>
      </c>
      <c r="L30" s="2" t="str">
        <f ca="1"/>
        <v/>
      </c>
      <c r="M30" s="2" t="str">
        <f ca="1"/>
        <v/>
      </c>
      <c r="N30" s="2" t="str">
        <f ca="1"/>
        <v/>
      </c>
      <c r="O30" s="2" t="str">
        <f ca="1"/>
        <v/>
      </c>
      <c r="P30" s="2" t="str">
        <f ca="1"/>
        <v/>
      </c>
      <c r="Q30" s="2" t="str">
        <f ca="1"/>
        <v/>
      </c>
      <c r="R30" s="2" t="str">
        <f ca="1"/>
        <v/>
      </c>
      <c r="S30" s="9" t="str">
        <f ca="1"/>
        <v/>
      </c>
      <c r="T30" t="s">
        <v>206</v>
      </c>
      <c r="U30" t="str" cm="1">
        <f t="array" aca="1" ref="U30" ca="1">B30&amp;" = "&amp;D30&amp;"("&amp;_xlfn.TEXTJOIN(", ",TRUE,_xlfn.TEXTJOIN(", ",TRUE,E30:G30),_xlfn.TEXTJOIN(", ",TRUE,IF(H30:S30="","",H$2:S$2&amp;"="&amp;H30:S30)))&amp;")"</f>
        <v>user = models.OneToOneField(ExtendedUser, on_delete=models.CASCADE, primary_key=True)</v>
      </c>
      <c r="V30" t="s">
        <v>206</v>
      </c>
      <c r="W30" s="25" t="s">
        <v>247</v>
      </c>
      <c r="X30" s="23" t="s">
        <v>242</v>
      </c>
      <c r="Y30" s="25" t="s">
        <v>27</v>
      </c>
      <c r="Z30" s="23"/>
      <c r="AA30" s="23"/>
      <c r="AB30" s="23" t="s">
        <v>237</v>
      </c>
      <c r="AC30" s="23"/>
      <c r="AD30" s="26"/>
      <c r="AE30" s="26" t="s">
        <v>212</v>
      </c>
      <c r="AF30" s="26" t="s">
        <v>196</v>
      </c>
      <c r="AG30" s="26" t="s">
        <v>212</v>
      </c>
      <c r="AH30" s="23"/>
      <c r="AI30" s="23"/>
      <c r="AJ30" s="23"/>
      <c r="AK30" s="23"/>
      <c r="AL30" s="30" t="s">
        <v>240</v>
      </c>
      <c r="AM30" s="30"/>
    </row>
    <row r="31" spans="1:39">
      <c r="B31" s="5" t="s">
        <v>4</v>
      </c>
      <c r="C31" s="6" t="s">
        <v>213</v>
      </c>
      <c r="D31" s="6" t="str">
        <f t="array" ref="D31:S31" ca="1">IF(ISBLANK(VLOOKUP(C31,$W$3:$AM$105,COLUMN(OFFSET($B$1,0,0,1,16)),FALSE)),"",VLOOKUP(C31,$W$3:$AM$105,COLUMN(OFFSET($B$1,0,0,1,16)),FALSE))</f>
        <v>models.CharField</v>
      </c>
      <c r="E31" s="8" t="str">
        <f ca="1"/>
        <v/>
      </c>
      <c r="F31" s="2" t="str">
        <f ca="1"/>
        <v/>
      </c>
      <c r="G31" s="9" t="str">
        <f ca="1"/>
        <v/>
      </c>
      <c r="H31" s="11" t="str">
        <f ca="1"/>
        <v/>
      </c>
      <c r="I31" s="2" t="str">
        <f ca="1"/>
        <v/>
      </c>
      <c r="J31" s="2">
        <f ca="1"/>
        <v>100</v>
      </c>
      <c r="K31" s="2" t="str">
        <f ca="1"/>
        <v>True</v>
      </c>
      <c r="L31" s="2" t="str">
        <f ca="1"/>
        <v>''</v>
      </c>
      <c r="M31" s="2" t="str">
        <f ca="1"/>
        <v>False</v>
      </c>
      <c r="N31" s="2" t="str">
        <f ca="1"/>
        <v/>
      </c>
      <c r="O31" s="2" t="str">
        <f ca="1"/>
        <v/>
      </c>
      <c r="P31" s="2" t="str">
        <f ca="1"/>
        <v/>
      </c>
      <c r="Q31" s="2" t="str">
        <f ca="1"/>
        <v/>
      </c>
      <c r="R31" s="2" t="str">
        <f ca="1"/>
        <v/>
      </c>
      <c r="S31" s="9" t="str">
        <f ca="1"/>
        <v/>
      </c>
      <c r="T31" t="s">
        <v>206</v>
      </c>
      <c r="U31" t="str" cm="1">
        <f t="array" aca="1" ref="U31" ca="1">B31&amp;" = "&amp;D31&amp;"("&amp;_xlfn.TEXTJOIN(", ",TRUE,_xlfn.TEXTJOIN(", ",TRUE,E31:G31),_xlfn.TEXTJOIN(", ",TRUE,IF(H31:S31="","",H$2:S$2&amp;"="&amp;H31:S31)))&amp;")"</f>
        <v>address = models.CharField(max_length=100, blank=True, default='', null=False)</v>
      </c>
      <c r="V31" t="s">
        <v>206</v>
      </c>
      <c r="W31" s="25" t="s">
        <v>289</v>
      </c>
      <c r="X31" s="23" t="s">
        <v>242</v>
      </c>
      <c r="Y31" s="25" t="s">
        <v>256</v>
      </c>
      <c r="Z31" s="23"/>
      <c r="AA31" s="23"/>
      <c r="AB31" s="23" t="s">
        <v>237</v>
      </c>
      <c r="AC31" s="23"/>
      <c r="AD31" s="26"/>
      <c r="AE31" s="26" t="s">
        <v>212</v>
      </c>
      <c r="AF31" s="26" t="s">
        <v>196</v>
      </c>
      <c r="AG31" s="26" t="s">
        <v>212</v>
      </c>
      <c r="AH31" s="23"/>
      <c r="AI31" s="23"/>
      <c r="AJ31" s="23"/>
      <c r="AK31" s="23"/>
      <c r="AL31" s="23"/>
      <c r="AM31" s="23"/>
    </row>
    <row r="32" spans="1:39">
      <c r="B32" s="5" t="s">
        <v>6</v>
      </c>
      <c r="C32" s="6" t="s">
        <v>213</v>
      </c>
      <c r="D32" s="6" t="str">
        <f t="array" ref="D32:S32" ca="1">IF(ISBLANK(VLOOKUP(C32,$W$3:$AM$105,COLUMN(OFFSET($B$1,0,0,1,16)),FALSE)),"",VLOOKUP(C32,$W$3:$AM$105,COLUMN(OFFSET($B$1,0,0,1,16)),FALSE))</f>
        <v>models.CharField</v>
      </c>
      <c r="E32" s="8" t="str">
        <f ca="1"/>
        <v/>
      </c>
      <c r="F32" s="2" t="str">
        <f ca="1"/>
        <v/>
      </c>
      <c r="G32" s="9" t="str">
        <f ca="1"/>
        <v/>
      </c>
      <c r="H32" s="11" t="str">
        <f ca="1"/>
        <v/>
      </c>
      <c r="I32" s="2" t="str">
        <f ca="1"/>
        <v/>
      </c>
      <c r="J32" s="2">
        <f ca="1"/>
        <v>100</v>
      </c>
      <c r="K32" s="2" t="str">
        <f ca="1"/>
        <v>True</v>
      </c>
      <c r="L32" s="2" t="str">
        <f ca="1"/>
        <v>''</v>
      </c>
      <c r="M32" s="2" t="str">
        <f ca="1"/>
        <v>False</v>
      </c>
      <c r="N32" s="2" t="str">
        <f ca="1"/>
        <v/>
      </c>
      <c r="O32" s="2" t="str">
        <f ca="1"/>
        <v/>
      </c>
      <c r="P32" s="2" t="str">
        <f ca="1"/>
        <v/>
      </c>
      <c r="Q32" s="2" t="str">
        <f ca="1"/>
        <v/>
      </c>
      <c r="R32" s="2" t="str">
        <f ca="1"/>
        <v/>
      </c>
      <c r="S32" s="9" t="str">
        <f ca="1"/>
        <v/>
      </c>
      <c r="T32" t="s">
        <v>206</v>
      </c>
      <c r="U32" t="str" cm="1">
        <f t="array" aca="1" ref="U32" ca="1">B32&amp;" = "&amp;D32&amp;"("&amp;_xlfn.TEXTJOIN(", ",TRUE,_xlfn.TEXTJOIN(", ",TRUE,E32:G32),_xlfn.TEXTJOIN(", ",TRUE,IF(H32:S32="","",H$2:S$2&amp;"="&amp;H32:S32)))&amp;")"</f>
        <v>address2 = models.CharField(max_length=100, blank=True, default='', null=False)</v>
      </c>
      <c r="V32" t="s">
        <v>206</v>
      </c>
      <c r="W32" s="25" t="s">
        <v>245</v>
      </c>
      <c r="X32" s="23" t="s">
        <v>242</v>
      </c>
      <c r="Y32" s="25" t="s">
        <v>44</v>
      </c>
      <c r="Z32" s="23"/>
      <c r="AA32" s="23"/>
      <c r="AB32" s="23" t="s">
        <v>237</v>
      </c>
      <c r="AC32" s="23"/>
      <c r="AD32" s="26"/>
      <c r="AE32" s="26" t="s">
        <v>212</v>
      </c>
      <c r="AF32" s="26" t="s">
        <v>196</v>
      </c>
      <c r="AG32" s="26" t="s">
        <v>212</v>
      </c>
      <c r="AH32" s="23"/>
      <c r="AI32" s="23"/>
      <c r="AJ32" s="23"/>
      <c r="AK32" s="23"/>
      <c r="AL32" s="30"/>
      <c r="AM32" s="30"/>
    </row>
    <row r="33" spans="1:39">
      <c r="B33" s="5" t="s">
        <v>8</v>
      </c>
      <c r="C33" s="7" t="s">
        <v>267</v>
      </c>
      <c r="D33" s="6" t="str">
        <f t="array" ref="D33:S33" ca="1">IF(ISBLANK(VLOOKUP(C33,$W$3:$AM$105,COLUMN(OFFSET($B$1,0,0,1,16)),FALSE)),"",VLOOKUP(C33,$W$3:$AM$105,COLUMN(OFFSET($B$1,0,0,1,16)),FALSE))</f>
        <v>models.CharField</v>
      </c>
      <c r="E33" s="8" t="str">
        <f ca="1"/>
        <v/>
      </c>
      <c r="F33" s="2" t="str">
        <f ca="1"/>
        <v/>
      </c>
      <c r="G33" s="9" t="str">
        <f ca="1"/>
        <v/>
      </c>
      <c r="H33" s="11" t="str">
        <f ca="1"/>
        <v/>
      </c>
      <c r="I33" s="2" t="str">
        <f ca="1"/>
        <v/>
      </c>
      <c r="J33" s="2">
        <f ca="1"/>
        <v>30</v>
      </c>
      <c r="K33" s="2" t="str">
        <f ca="1"/>
        <v>True</v>
      </c>
      <c r="L33" s="2" t="str">
        <f ca="1"/>
        <v>''</v>
      </c>
      <c r="M33" s="2" t="str">
        <f ca="1"/>
        <v>False</v>
      </c>
      <c r="N33" s="2" t="str">
        <f ca="1"/>
        <v/>
      </c>
      <c r="O33" s="2" t="str">
        <f ca="1"/>
        <v/>
      </c>
      <c r="P33" s="2" t="str">
        <f ca="1"/>
        <v/>
      </c>
      <c r="Q33" s="2" t="str">
        <f ca="1"/>
        <v/>
      </c>
      <c r="R33" s="2" t="str">
        <f ca="1"/>
        <v/>
      </c>
      <c r="S33" s="9" t="str">
        <f ca="1"/>
        <v/>
      </c>
      <c r="T33" t="s">
        <v>206</v>
      </c>
      <c r="U33" t="str" cm="1">
        <f t="array" aca="1" ref="U33" ca="1">B33&amp;" = "&amp;D33&amp;"("&amp;_xlfn.TEXTJOIN(", ",TRUE,_xlfn.TEXTJOIN(", ",TRUE,E33:G33),_xlfn.TEXTJOIN(", ",TRUE,IF(H33:S33="","",H$2:S$2&amp;"="&amp;H33:S33)))&amp;")"</f>
        <v>city = models.CharField(max_length=30, blank=True, default='', null=False)</v>
      </c>
      <c r="V33" t="s">
        <v>206</v>
      </c>
      <c r="W33" s="25" t="s">
        <v>251</v>
      </c>
      <c r="X33" s="23" t="s">
        <v>242</v>
      </c>
      <c r="Y33" s="25" t="s">
        <v>54</v>
      </c>
      <c r="Z33" s="23"/>
      <c r="AA33" s="23"/>
      <c r="AB33" s="23" t="s">
        <v>237</v>
      </c>
      <c r="AC33" s="23"/>
      <c r="AD33" s="26"/>
      <c r="AE33" s="26" t="s">
        <v>212</v>
      </c>
      <c r="AF33" s="26" t="s">
        <v>196</v>
      </c>
      <c r="AG33" s="26" t="s">
        <v>212</v>
      </c>
      <c r="AH33" s="23"/>
      <c r="AI33" s="23"/>
      <c r="AJ33" s="23"/>
      <c r="AK33" s="23"/>
      <c r="AL33" s="30"/>
      <c r="AM33" s="30"/>
    </row>
    <row r="34" spans="1:39">
      <c r="B34" s="5" t="s">
        <v>10</v>
      </c>
      <c r="C34" s="7" t="s">
        <v>340</v>
      </c>
      <c r="D34" s="6" t="str">
        <f t="array" ref="D34:S34" ca="1">IF(ISBLANK(VLOOKUP(C34,$W$3:$AM$105,COLUMN(OFFSET($B$1,0,0,1,16)),FALSE)),"",VLOOKUP(C34,$W$3:$AM$105,COLUMN(OFFSET($B$1,0,0,1,16)),FALSE))</f>
        <v>models.CharField</v>
      </c>
      <c r="E34" s="8" t="str">
        <f ca="1"/>
        <v/>
      </c>
      <c r="F34" s="2" t="str">
        <f ca="1"/>
        <v/>
      </c>
      <c r="G34" s="9" t="str">
        <f ca="1"/>
        <v/>
      </c>
      <c r="H34" s="11" t="str">
        <f ca="1"/>
        <v/>
      </c>
      <c r="I34" s="2" t="str">
        <f ca="1"/>
        <v/>
      </c>
      <c r="J34" s="2">
        <f ca="1"/>
        <v>2</v>
      </c>
      <c r="K34" s="2" t="str">
        <f ca="1"/>
        <v>True</v>
      </c>
      <c r="L34" s="2" t="str">
        <f ca="1"/>
        <v>''</v>
      </c>
      <c r="M34" s="2" t="str">
        <f ca="1"/>
        <v>False</v>
      </c>
      <c r="N34" s="2" t="str">
        <f ca="1"/>
        <v/>
      </c>
      <c r="O34" s="2" t="str">
        <f ca="1"/>
        <v/>
      </c>
      <c r="P34" s="2" t="str">
        <f ca="1"/>
        <v/>
      </c>
      <c r="Q34" s="2" t="str">
        <f ca="1"/>
        <v>ST_LIST</v>
      </c>
      <c r="R34" s="2" t="str">
        <f ca="1"/>
        <v/>
      </c>
      <c r="S34" s="9" t="str">
        <f ca="1"/>
        <v/>
      </c>
      <c r="T34" t="s">
        <v>206</v>
      </c>
      <c r="U34" t="str" cm="1">
        <f t="array" aca="1" ref="U34" ca="1">B34&amp;" = "&amp;D34&amp;"("&amp;_xlfn.TEXTJOIN(", ",TRUE,_xlfn.TEXTJOIN(", ",TRUE,E34:G34),_xlfn.TEXTJOIN(", ",TRUE,IF(H34:S34="","",H$2:S$2&amp;"="&amp;H34:S34)))&amp;")"</f>
        <v>state = models.CharField(max_length=2, blank=True, default='', null=False, choices=ST_LIST)</v>
      </c>
      <c r="V34" t="s">
        <v>206</v>
      </c>
      <c r="W34" s="25" t="s">
        <v>259</v>
      </c>
      <c r="X34" s="23" t="s">
        <v>242</v>
      </c>
      <c r="Y34" s="25" t="s">
        <v>101</v>
      </c>
      <c r="Z34" s="23"/>
      <c r="AA34" s="23"/>
      <c r="AB34" s="23" t="s">
        <v>237</v>
      </c>
      <c r="AC34" s="23"/>
      <c r="AD34" s="26"/>
      <c r="AE34" s="26" t="s">
        <v>212</v>
      </c>
      <c r="AF34" s="26" t="s">
        <v>196</v>
      </c>
      <c r="AG34" s="26" t="s">
        <v>212</v>
      </c>
      <c r="AH34" s="23"/>
      <c r="AI34" s="23"/>
      <c r="AJ34" s="23"/>
      <c r="AK34" s="23"/>
      <c r="AL34" s="30"/>
      <c r="AM34" s="30"/>
    </row>
    <row r="35" spans="1:39">
      <c r="B35" s="5" t="s">
        <v>12</v>
      </c>
      <c r="C35" s="7" t="s">
        <v>265</v>
      </c>
      <c r="D35" s="6" t="str">
        <f t="array" ref="D35:S35" ca="1">IF(ISBLANK(VLOOKUP(C35,$W$3:$AM$105,COLUMN(OFFSET($B$1,0,0,1,16)),FALSE)),"",VLOOKUP(C35,$W$3:$AM$105,COLUMN(OFFSET($B$1,0,0,1,16)),FALSE))</f>
        <v>models.CharField</v>
      </c>
      <c r="E35" s="8" t="str">
        <f ca="1"/>
        <v/>
      </c>
      <c r="F35" s="2" t="str">
        <f ca="1"/>
        <v/>
      </c>
      <c r="G35" s="9" t="str">
        <f ca="1"/>
        <v/>
      </c>
      <c r="H35" s="11" t="str">
        <f ca="1"/>
        <v/>
      </c>
      <c r="I35" s="2" t="str">
        <f ca="1"/>
        <v/>
      </c>
      <c r="J35" s="2">
        <f ca="1"/>
        <v>5</v>
      </c>
      <c r="K35" s="2" t="str">
        <f ca="1"/>
        <v>True</v>
      </c>
      <c r="L35" s="2" t="str">
        <f ca="1"/>
        <v>''</v>
      </c>
      <c r="M35" s="2" t="str">
        <f ca="1"/>
        <v>False</v>
      </c>
      <c r="N35" s="2" t="str">
        <f ca="1"/>
        <v/>
      </c>
      <c r="O35" s="2" t="str">
        <f ca="1"/>
        <v/>
      </c>
      <c r="P35" s="2" t="str">
        <f ca="1"/>
        <v/>
      </c>
      <c r="Q35" s="2" t="str">
        <f ca="1"/>
        <v/>
      </c>
      <c r="R35" s="2" t="str">
        <f ca="1"/>
        <v/>
      </c>
      <c r="S35" s="9" t="str">
        <f ca="1"/>
        <v/>
      </c>
      <c r="T35" t="s">
        <v>206</v>
      </c>
      <c r="U35" t="str" cm="1">
        <f t="array" aca="1" ref="U35" ca="1">B35&amp;" = "&amp;D35&amp;"("&amp;_xlfn.TEXTJOIN(", ",TRUE,_xlfn.TEXTJOIN(", ",TRUE,E35:G35),_xlfn.TEXTJOIN(", ",TRUE,IF(H35:S35="","",H$2:S$2&amp;"="&amp;H35:S35)))&amp;")"</f>
        <v>zip = models.CharField(max_length=5, blank=True, default='', null=False)</v>
      </c>
      <c r="V35" t="s">
        <v>206</v>
      </c>
      <c r="W35" s="25" t="s">
        <v>264</v>
      </c>
      <c r="X35" s="23" t="s">
        <v>242</v>
      </c>
      <c r="Y35" s="25" t="s">
        <v>99</v>
      </c>
      <c r="Z35" s="23"/>
      <c r="AA35" s="23"/>
      <c r="AB35" s="23" t="s">
        <v>237</v>
      </c>
      <c r="AC35" s="23"/>
      <c r="AD35" s="23"/>
      <c r="AE35" s="26" t="s">
        <v>212</v>
      </c>
      <c r="AF35" s="26" t="s">
        <v>196</v>
      </c>
      <c r="AG35" s="26" t="s">
        <v>212</v>
      </c>
      <c r="AH35" s="23"/>
      <c r="AI35" s="23"/>
      <c r="AJ35" s="23"/>
      <c r="AK35" s="23"/>
      <c r="AL35" s="23"/>
      <c r="AM35" s="23"/>
    </row>
    <row r="36" spans="1:39">
      <c r="B36" s="5" t="s">
        <v>14</v>
      </c>
      <c r="C36" s="6" t="s">
        <v>14</v>
      </c>
      <c r="D36" s="6" t="str">
        <f t="array" ref="D36:S36" ca="1">IF(ISBLANK(VLOOKUP(C36,$W$3:$AM$105,COLUMN(OFFSET($B$1,0,0,1,16)),FALSE)),"",VLOOKUP(C36,$W$3:$AM$105,COLUMN(OFFSET($B$1,0,0,1,16)),FALSE))</f>
        <v>PhoneNumberField</v>
      </c>
      <c r="E36" s="8" t="str">
        <f ca="1"/>
        <v/>
      </c>
      <c r="F36" s="2" t="str">
        <f ca="1"/>
        <v/>
      </c>
      <c r="G36" s="9" t="str">
        <f ca="1"/>
        <v/>
      </c>
      <c r="H36" s="11" t="str">
        <f ca="1"/>
        <v/>
      </c>
      <c r="I36" s="2" t="str">
        <f ca="1"/>
        <v/>
      </c>
      <c r="J36" s="2" t="str">
        <f ca="1"/>
        <v/>
      </c>
      <c r="K36" s="2" t="str">
        <f ca="1"/>
        <v>True</v>
      </c>
      <c r="L36" s="2" t="str">
        <f ca="1"/>
        <v/>
      </c>
      <c r="M36" s="2" t="str">
        <f ca="1"/>
        <v/>
      </c>
      <c r="N36" s="2" t="str">
        <f ca="1"/>
        <v/>
      </c>
      <c r="O36" s="2" t="str">
        <f ca="1"/>
        <v/>
      </c>
      <c r="P36" s="2" t="str">
        <f ca="1"/>
        <v/>
      </c>
      <c r="Q36" s="2" t="str">
        <f ca="1"/>
        <v/>
      </c>
      <c r="R36" s="2" t="str">
        <f ca="1"/>
        <v/>
      </c>
      <c r="S36" s="9" t="str">
        <f ca="1"/>
        <v>'US'</v>
      </c>
      <c r="T36" t="s">
        <v>206</v>
      </c>
      <c r="U36" t="str" cm="1">
        <f t="array" aca="1" ref="U36" ca="1">B36&amp;" = "&amp;D36&amp;"("&amp;_xlfn.TEXTJOIN(", ",TRUE,_xlfn.TEXTJOIN(", ",TRUE,E36:G36),_xlfn.TEXTJOIN(", ",TRUE,IF(H36:S36="","",H$2:S$2&amp;"="&amp;H36:S36)))&amp;")"</f>
        <v>phone = PhoneNumberField(blank=True, region='US')</v>
      </c>
      <c r="V36" t="s">
        <v>206</v>
      </c>
      <c r="W36" s="25" t="s">
        <v>243</v>
      </c>
      <c r="X36" s="23" t="s">
        <v>242</v>
      </c>
      <c r="Y36" s="25" t="s">
        <v>75</v>
      </c>
      <c r="Z36" s="23"/>
      <c r="AA36" s="23"/>
      <c r="AB36" s="23" t="s">
        <v>237</v>
      </c>
      <c r="AC36" s="23"/>
      <c r="AD36" s="26"/>
      <c r="AE36" s="26" t="s">
        <v>212</v>
      </c>
      <c r="AF36" s="26" t="s">
        <v>196</v>
      </c>
      <c r="AG36" s="26" t="s">
        <v>212</v>
      </c>
      <c r="AH36" s="23"/>
      <c r="AI36" s="23"/>
      <c r="AJ36" s="23"/>
      <c r="AK36" s="23"/>
      <c r="AL36" s="30"/>
      <c r="AM36" s="30"/>
    </row>
    <row r="37" spans="1:39">
      <c r="B37" s="5" t="s">
        <v>18</v>
      </c>
      <c r="C37" s="6" t="s">
        <v>227</v>
      </c>
      <c r="D37" s="6" t="str">
        <f t="array" ref="D37:S37" ca="1">IF(ISBLANK(VLOOKUP(C37,$W$3:$AM$105,COLUMN(OFFSET($B$1,0,0,1,16)),FALSE)),"",VLOOKUP(C37,$W$3:$AM$105,COLUMN(OFFSET($B$1,0,0,1,16)),FALSE))</f>
        <v>models.ImageField</v>
      </c>
      <c r="E37" s="8" t="str">
        <f ca="1"/>
        <v/>
      </c>
      <c r="F37" s="2" t="str">
        <f ca="1"/>
        <v/>
      </c>
      <c r="G37" s="9" t="str">
        <f ca="1"/>
        <v/>
      </c>
      <c r="H37" s="11" t="str">
        <f ca="1"/>
        <v/>
      </c>
      <c r="I37" s="2" t="str">
        <f ca="1"/>
        <v/>
      </c>
      <c r="J37" s="2" t="str">
        <f ca="1"/>
        <v/>
      </c>
      <c r="K37" s="2" t="str">
        <f ca="1"/>
        <v>True</v>
      </c>
      <c r="L37" s="2" t="str">
        <f ca="1"/>
        <v>''</v>
      </c>
      <c r="M37" s="2" t="str">
        <f ca="1"/>
        <v>False</v>
      </c>
      <c r="N37" s="2" t="str">
        <f ca="1"/>
        <v>CON_WAV</v>
      </c>
      <c r="O37" s="2" t="str">
        <f ca="1"/>
        <v/>
      </c>
      <c r="P37" s="2" t="str">
        <f ca="1"/>
        <v/>
      </c>
      <c r="Q37" s="2" t="str">
        <f ca="1"/>
        <v/>
      </c>
      <c r="R37" s="2" t="str">
        <f ca="1"/>
        <v/>
      </c>
      <c r="S37" s="9" t="str">
        <f ca="1"/>
        <v/>
      </c>
      <c r="T37" t="s">
        <v>206</v>
      </c>
      <c r="U37" t="str" cm="1">
        <f t="array" aca="1" ref="U37" ca="1">B37&amp;" = "&amp;D37&amp;"("&amp;_xlfn.TEXTJOIN(", ",TRUE,_xlfn.TEXTJOIN(", ",TRUE,E37:G37),_xlfn.TEXTJOIN(", ",TRUE,IF(H37:S37="","",H$2:S$2&amp;"="&amp;H37:S37)))&amp;")"</f>
        <v>waiver_image = models.ImageField(blank=True, default='', null=False, upload_to=CON_WAV)</v>
      </c>
      <c r="V37" t="s">
        <v>206</v>
      </c>
      <c r="W37" s="25" t="s">
        <v>222</v>
      </c>
      <c r="X37" s="25" t="s">
        <v>199</v>
      </c>
      <c r="Y37" s="25"/>
      <c r="Z37" s="23"/>
      <c r="AA37" s="23"/>
      <c r="AB37" s="23"/>
      <c r="AC37" s="23"/>
      <c r="AD37" s="26"/>
      <c r="AE37" s="26" t="s">
        <v>212</v>
      </c>
      <c r="AF37" s="28" t="s">
        <v>192</v>
      </c>
      <c r="AG37" s="23" t="s">
        <v>249</v>
      </c>
      <c r="AH37" s="23" t="s">
        <v>216</v>
      </c>
      <c r="AI37" s="26"/>
      <c r="AJ37" s="23"/>
      <c r="AK37" s="23"/>
      <c r="AL37" s="23"/>
      <c r="AM37" s="23"/>
    </row>
    <row r="38" spans="1:39">
      <c r="B38" s="5" t="s">
        <v>17</v>
      </c>
      <c r="C38" s="6" t="s">
        <v>7</v>
      </c>
      <c r="D38" s="6" t="str">
        <f t="array" ref="D38:S38" ca="1">IF(ISBLANK(VLOOKUP(C38,$W$3:$AM$105,COLUMN(OFFSET($B$1,0,0,1,16)),FALSE)),"",VLOOKUP(C38,$W$3:$AM$105,COLUMN(OFFSET($B$1,0,0,1,16)),FALSE))</f>
        <v>models.DateField</v>
      </c>
      <c r="E38" s="8" t="str">
        <f ca="1"/>
        <v/>
      </c>
      <c r="F38" s="2" t="str">
        <f ca="1"/>
        <v/>
      </c>
      <c r="G38" s="9" t="str">
        <f ca="1"/>
        <v/>
      </c>
      <c r="H38" s="11" t="str">
        <f ca="1"/>
        <v/>
      </c>
      <c r="I38" s="2" t="str">
        <f ca="1"/>
        <v/>
      </c>
      <c r="J38" s="2" t="str">
        <f ca="1"/>
        <v/>
      </c>
      <c r="K38" s="2" t="str">
        <f ca="1"/>
        <v>True</v>
      </c>
      <c r="L38" s="2" t="str">
        <f ca="1"/>
        <v>None</v>
      </c>
      <c r="M38" s="2" t="str">
        <f ca="1"/>
        <v>True</v>
      </c>
      <c r="N38" s="2" t="str">
        <f ca="1"/>
        <v/>
      </c>
      <c r="O38" s="2" t="str">
        <f ca="1"/>
        <v/>
      </c>
      <c r="P38" s="2" t="str">
        <f ca="1"/>
        <v/>
      </c>
      <c r="Q38" s="2" t="str">
        <f ca="1"/>
        <v/>
      </c>
      <c r="R38" s="2" t="str">
        <f ca="1"/>
        <v/>
      </c>
      <c r="S38" s="9" t="str">
        <f ca="1"/>
        <v/>
      </c>
      <c r="T38" t="s">
        <v>206</v>
      </c>
      <c r="U38" t="str" cm="1">
        <f t="array" aca="1" ref="U38" ca="1">B38&amp;" = "&amp;D38&amp;"("&amp;_xlfn.TEXTJOIN(", ",TRUE,_xlfn.TEXTJOIN(", ",TRUE,E38:G38),_xlfn.TEXTJOIN(", ",TRUE,IF(H38:S38="","",H$2:S$2&amp;"="&amp;H38:S38)))&amp;")"</f>
        <v>waiver_date = models.DateField(blank=True, default=None, null=True)</v>
      </c>
      <c r="V38" t="s">
        <v>206</v>
      </c>
      <c r="W38" s="25" t="s">
        <v>228</v>
      </c>
      <c r="X38" s="25" t="s">
        <v>199</v>
      </c>
      <c r="Y38" s="25"/>
      <c r="Z38" s="23"/>
      <c r="AA38" s="23"/>
      <c r="AB38" s="23"/>
      <c r="AC38" s="23"/>
      <c r="AD38" s="26"/>
      <c r="AE38" s="26" t="s">
        <v>212</v>
      </c>
      <c r="AF38" s="28" t="s">
        <v>192</v>
      </c>
      <c r="AG38" s="23" t="s">
        <v>249</v>
      </c>
      <c r="AH38" s="23" t="s">
        <v>217</v>
      </c>
      <c r="AI38" s="26"/>
      <c r="AJ38" s="23"/>
      <c r="AK38" s="23"/>
      <c r="AL38" s="23"/>
      <c r="AM38" s="23"/>
    </row>
    <row r="39" spans="1:39">
      <c r="B39" s="5" t="s">
        <v>21</v>
      </c>
      <c r="C39" s="6" t="s">
        <v>222</v>
      </c>
      <c r="D39" s="6" t="str">
        <f t="array" ref="D39:S39" ca="1">IF(ISBLANK(VLOOKUP(C39,$W$3:$AM$105,COLUMN(OFFSET($B$1,0,0,1,16)),FALSE)),"",VLOOKUP(C39,$W$3:$AM$105,COLUMN(OFFSET($B$1,0,0,1,16)),FALSE))</f>
        <v>models.ImageField</v>
      </c>
      <c r="E39" s="8" t="str">
        <f ca="1"/>
        <v/>
      </c>
      <c r="F39" s="2" t="str">
        <f ca="1"/>
        <v/>
      </c>
      <c r="G39" s="9" t="str">
        <f ca="1"/>
        <v/>
      </c>
      <c r="H39" s="11" t="str">
        <f ca="1"/>
        <v/>
      </c>
      <c r="I39" s="2" t="str">
        <f ca="1"/>
        <v/>
      </c>
      <c r="J39" s="2" t="str">
        <f ca="1"/>
        <v/>
      </c>
      <c r="K39" s="2" t="str">
        <f ca="1"/>
        <v>True</v>
      </c>
      <c r="L39" s="2" t="str">
        <f ca="1"/>
        <v>''</v>
      </c>
      <c r="M39" s="2" t="str">
        <f ca="1"/>
        <v>False</v>
      </c>
      <c r="N39" s="2" t="str">
        <f ca="1"/>
        <v>CON_IMG</v>
      </c>
      <c r="O39" s="2" t="str">
        <f ca="1"/>
        <v/>
      </c>
      <c r="P39" s="2" t="str">
        <f ca="1"/>
        <v/>
      </c>
      <c r="Q39" s="2" t="str">
        <f ca="1"/>
        <v/>
      </c>
      <c r="R39" s="2" t="str">
        <f ca="1"/>
        <v/>
      </c>
      <c r="S39" s="9" t="str">
        <f ca="1"/>
        <v/>
      </c>
      <c r="T39" t="s">
        <v>206</v>
      </c>
      <c r="U39" t="str" cm="1">
        <f t="array" aca="1" ref="U39" ca="1">B39&amp;" = "&amp;D39&amp;"("&amp;_xlfn.TEXTJOIN(", ",TRUE,_xlfn.TEXTJOIN(", ",TRUE,E39:G39),_xlfn.TEXTJOIN(", ",TRUE,IF(H39:S39="","",H$2:S$2&amp;"="&amp;H39:S39)))&amp;")"</f>
        <v>image = models.ImageField(blank=True, default='', null=False, upload_to=CON_IMG)</v>
      </c>
      <c r="V39" t="s">
        <v>206</v>
      </c>
      <c r="W39" s="25" t="s">
        <v>227</v>
      </c>
      <c r="X39" s="25" t="s">
        <v>199</v>
      </c>
      <c r="Y39" s="25"/>
      <c r="Z39" s="23"/>
      <c r="AA39" s="23"/>
      <c r="AB39" s="23"/>
      <c r="AC39" s="23"/>
      <c r="AD39" s="26"/>
      <c r="AE39" s="26" t="s">
        <v>212</v>
      </c>
      <c r="AF39" s="28" t="s">
        <v>192</v>
      </c>
      <c r="AG39" s="23" t="s">
        <v>249</v>
      </c>
      <c r="AH39" s="23" t="s">
        <v>215</v>
      </c>
      <c r="AI39" s="26"/>
      <c r="AJ39" s="23"/>
      <c r="AK39" s="23"/>
      <c r="AL39" s="23"/>
      <c r="AM39" s="23"/>
    </row>
    <row r="40" spans="1:39">
      <c r="B40" s="5" t="s">
        <v>23</v>
      </c>
      <c r="C40" s="6" t="s">
        <v>233</v>
      </c>
      <c r="D40" s="6" t="str">
        <f t="array" ref="D40:S40" ca="1">IF(ISBLANK(VLOOKUP(C40,$W$3:$AM$105,COLUMN(OFFSET($B$1,0,0,1,16)),FALSE)),"",VLOOKUP(C40,$W$3:$AM$105,COLUMN(OFFSET($B$1,0,0,1,16)),FALSE))</f>
        <v>models.CharField</v>
      </c>
      <c r="E40" s="8" t="str">
        <f ca="1"/>
        <v/>
      </c>
      <c r="F40" s="2" t="str">
        <f ca="1"/>
        <v/>
      </c>
      <c r="G40" s="9" t="str">
        <f ca="1"/>
        <v/>
      </c>
      <c r="H40" s="11" t="str">
        <f ca="1"/>
        <v/>
      </c>
      <c r="I40" s="2" t="str">
        <f ca="1"/>
        <v/>
      </c>
      <c r="J40" s="2">
        <f ca="1"/>
        <v>50</v>
      </c>
      <c r="K40" s="2" t="str">
        <f ca="1"/>
        <v>True</v>
      </c>
      <c r="L40" s="2" t="str">
        <f ca="1"/>
        <v>''</v>
      </c>
      <c r="M40" s="2" t="str">
        <f ca="1"/>
        <v>False</v>
      </c>
      <c r="N40" s="2" t="str">
        <f ca="1"/>
        <v/>
      </c>
      <c r="O40" s="2" t="str">
        <f ca="1"/>
        <v/>
      </c>
      <c r="P40" s="2" t="str">
        <f ca="1"/>
        <v/>
      </c>
      <c r="Q40" s="2" t="str">
        <f ca="1"/>
        <v>PID_LIST</v>
      </c>
      <c r="R40" s="2" t="str">
        <f ca="1"/>
        <v/>
      </c>
      <c r="S40" s="9" t="str">
        <f ca="1"/>
        <v/>
      </c>
      <c r="T40" t="s">
        <v>206</v>
      </c>
      <c r="U40" t="str" cm="1">
        <f t="array" aca="1" ref="U40" ca="1">B40&amp;" = "&amp;D40&amp;"("&amp;_xlfn.TEXTJOIN(", ",TRUE,_xlfn.TEXTJOIN(", ",TRUE,E40:G40),_xlfn.TEXTJOIN(", ",TRUE,IF(H40:S40="","",H$2:S$2&amp;"="&amp;H40:S40)))&amp;")"</f>
        <v>pid_type = models.CharField(max_length=50, blank=True, default='', null=False, choices=PID_LIST)</v>
      </c>
      <c r="V40" t="s">
        <v>206</v>
      </c>
      <c r="W40" s="25" t="s">
        <v>226</v>
      </c>
      <c r="X40" s="25" t="s">
        <v>199</v>
      </c>
      <c r="Y40" s="25"/>
      <c r="Z40" s="23"/>
      <c r="AA40" s="23"/>
      <c r="AB40" s="23"/>
      <c r="AC40" s="23"/>
      <c r="AD40" s="26"/>
      <c r="AE40" s="26" t="s">
        <v>212</v>
      </c>
      <c r="AF40" s="28" t="s">
        <v>192</v>
      </c>
      <c r="AG40" s="23" t="s">
        <v>249</v>
      </c>
      <c r="AH40" s="23" t="s">
        <v>221</v>
      </c>
      <c r="AI40" s="26"/>
      <c r="AJ40" s="23"/>
      <c r="AK40" s="23"/>
      <c r="AL40" s="23"/>
      <c r="AM40" s="23"/>
    </row>
    <row r="41" spans="1:39">
      <c r="B41" s="5" t="s">
        <v>25</v>
      </c>
      <c r="C41" s="6" t="s">
        <v>228</v>
      </c>
      <c r="D41" s="6" t="str">
        <f t="array" ref="D41:S41" ca="1">IF(ISBLANK(VLOOKUP(C41,$W$3:$AM$105,COLUMN(OFFSET($B$1,0,0,1,16)),FALSE)),"",VLOOKUP(C41,$W$3:$AM$105,COLUMN(OFFSET($B$1,0,0,1,16)),FALSE))</f>
        <v>models.ImageField</v>
      </c>
      <c r="E41" s="8" t="str">
        <f ca="1"/>
        <v/>
      </c>
      <c r="F41" s="2" t="str">
        <f ca="1"/>
        <v/>
      </c>
      <c r="G41" s="9" t="str">
        <f ca="1"/>
        <v/>
      </c>
      <c r="H41" s="11" t="str">
        <f ca="1"/>
        <v/>
      </c>
      <c r="I41" s="2" t="str">
        <f ca="1"/>
        <v/>
      </c>
      <c r="J41" s="2" t="str">
        <f ca="1"/>
        <v/>
      </c>
      <c r="K41" s="2" t="str">
        <f ca="1"/>
        <v>True</v>
      </c>
      <c r="L41" s="2" t="str">
        <f ca="1"/>
        <v>''</v>
      </c>
      <c r="M41" s="2" t="str">
        <f ca="1"/>
        <v>False</v>
      </c>
      <c r="N41" s="2" t="str">
        <f ca="1"/>
        <v>CON_PID</v>
      </c>
      <c r="O41" s="2" t="str">
        <f ca="1"/>
        <v/>
      </c>
      <c r="P41" s="2" t="str">
        <f ca="1"/>
        <v/>
      </c>
      <c r="Q41" s="2" t="str">
        <f ca="1"/>
        <v/>
      </c>
      <c r="R41" s="2" t="str">
        <f ca="1"/>
        <v/>
      </c>
      <c r="S41" s="9" t="str">
        <f ca="1"/>
        <v/>
      </c>
      <c r="T41" t="s">
        <v>206</v>
      </c>
      <c r="U41" t="str" cm="1">
        <f t="array" aca="1" ref="U41" ca="1">B41&amp;" = "&amp;D41&amp;"("&amp;_xlfn.TEXTJOIN(", ",TRUE,_xlfn.TEXTJOIN(", ",TRUE,E41:G41),_xlfn.TEXTJOIN(", ",TRUE,IF(H41:S41="","",H$2:S$2&amp;"="&amp;H41:S41)))&amp;")"</f>
        <v>pid_image = models.ImageField(blank=True, default='', null=False, upload_to=CON_PID)</v>
      </c>
      <c r="V41" t="s">
        <v>206</v>
      </c>
      <c r="W41" s="25" t="s">
        <v>209</v>
      </c>
      <c r="X41" s="25" t="s">
        <v>199</v>
      </c>
      <c r="Y41" s="25"/>
      <c r="Z41" s="26"/>
      <c r="AA41" s="26"/>
      <c r="AB41" s="26"/>
      <c r="AC41" s="26"/>
      <c r="AD41" s="26"/>
      <c r="AE41" s="26" t="s">
        <v>212</v>
      </c>
      <c r="AF41" s="28" t="s">
        <v>192</v>
      </c>
      <c r="AG41" s="23" t="s">
        <v>249</v>
      </c>
      <c r="AH41" s="23" t="s">
        <v>205</v>
      </c>
      <c r="AI41" s="26"/>
      <c r="AJ41" s="26"/>
      <c r="AK41" s="23"/>
      <c r="AL41" s="23"/>
      <c r="AM41" s="23"/>
    </row>
    <row r="42" spans="1:39">
      <c r="A42" s="5" t="s">
        <v>75</v>
      </c>
      <c r="B42" s="5" t="s">
        <v>76</v>
      </c>
      <c r="C42" s="6" t="s">
        <v>405</v>
      </c>
      <c r="D42" s="6" t="str">
        <f t="array" ref="D42:S42" ca="1">IF(ISBLANK(VLOOKUP(C42,$W$3:$AM$105,COLUMN(OFFSET($B$1,0,0,1,16)),FALSE)),"",VLOOKUP(C42,$W$3:$AM$105,COLUMN(OFFSET($B$1,0,0,1,16)),FALSE))</f>
        <v>models.ForeignKey</v>
      </c>
      <c r="E42" s="8" t="str">
        <f ca="1"/>
        <v>Employee</v>
      </c>
      <c r="F42" s="2" t="str">
        <f ca="1"/>
        <v/>
      </c>
      <c r="G42" s="9" t="str">
        <f ca="1"/>
        <v/>
      </c>
      <c r="H42" s="11" t="str">
        <f ca="1"/>
        <v>models.SET_NULL</v>
      </c>
      <c r="I42" s="2" t="str">
        <f ca="1"/>
        <v/>
      </c>
      <c r="J42" s="2" t="str">
        <f ca="1"/>
        <v/>
      </c>
      <c r="K42" s="2" t="str">
        <f ca="1"/>
        <v>False</v>
      </c>
      <c r="L42" s="2" t="str">
        <f ca="1"/>
        <v>None</v>
      </c>
      <c r="M42" s="2" t="str">
        <f ca="1"/>
        <v>True</v>
      </c>
      <c r="N42" s="2" t="str">
        <f ca="1"/>
        <v/>
      </c>
      <c r="O42" s="2" t="str">
        <f ca="1"/>
        <v/>
      </c>
      <c r="P42" s="2" t="str">
        <f ca="1"/>
        <v/>
      </c>
      <c r="Q42" s="2" t="str">
        <f ca="1"/>
        <v/>
      </c>
      <c r="R42" s="2" t="str">
        <f ca="1"/>
        <v/>
      </c>
      <c r="S42" s="9" t="str">
        <f ca="1"/>
        <v/>
      </c>
      <c r="T42" t="s">
        <v>206</v>
      </c>
      <c r="U42" t="str" cm="1">
        <f t="array" aca="1" ref="U42" ca="1">B42&amp;" = "&amp;D42&amp;"("&amp;_xlfn.TEXTJOIN(", ",TRUE,_xlfn.TEXTJOIN(", ",TRUE,E42:G42),_xlfn.TEXTJOIN(", ",TRUE,IF(H42:S42="","",H$2:S$2&amp;"="&amp;H42:S42)))&amp;")"</f>
        <v>general_manager = models.ForeignKey(Employee, on_delete=models.SET_NULL, blank=False, default=None, null=True)</v>
      </c>
      <c r="V42" t="s">
        <v>206</v>
      </c>
      <c r="W42" s="23" t="s">
        <v>271</v>
      </c>
      <c r="X42" s="23" t="s">
        <v>199</v>
      </c>
      <c r="Y42" s="25"/>
      <c r="Z42" s="23"/>
      <c r="AA42" s="23"/>
      <c r="AB42" s="23"/>
      <c r="AC42" s="23"/>
      <c r="AD42" s="23"/>
      <c r="AE42" s="26" t="s">
        <v>212</v>
      </c>
      <c r="AF42" s="28" t="s">
        <v>192</v>
      </c>
      <c r="AG42" s="23" t="s">
        <v>249</v>
      </c>
      <c r="AH42" s="23" t="s">
        <v>272</v>
      </c>
      <c r="AI42" s="23"/>
      <c r="AJ42" s="23"/>
      <c r="AK42" s="23"/>
      <c r="AL42" s="23"/>
      <c r="AM42" s="23"/>
    </row>
    <row r="43" spans="1:39">
      <c r="B43" s="5" t="s">
        <v>45</v>
      </c>
      <c r="C43" s="6" t="s">
        <v>267</v>
      </c>
      <c r="D43" s="6" t="str">
        <f t="array" ref="D43:S43" ca="1">IF(ISBLANK(VLOOKUP(C43,$W$3:$AM$105,COLUMN(OFFSET($B$1,0,0,1,16)),FALSE)),"",VLOOKUP(C43,$W$3:$AM$105,COLUMN(OFFSET($B$1,0,0,1,16)),FALSE))</f>
        <v>models.CharField</v>
      </c>
      <c r="E43" s="8" t="str">
        <f ca="1"/>
        <v/>
      </c>
      <c r="F43" s="2" t="str">
        <f ca="1"/>
        <v/>
      </c>
      <c r="G43" s="9" t="str">
        <f ca="1"/>
        <v/>
      </c>
      <c r="H43" s="11" t="str">
        <f ca="1"/>
        <v/>
      </c>
      <c r="I43" s="2" t="str">
        <f ca="1"/>
        <v/>
      </c>
      <c r="J43" s="2">
        <f ca="1"/>
        <v>30</v>
      </c>
      <c r="K43" s="2" t="str">
        <f ca="1"/>
        <v>True</v>
      </c>
      <c r="L43" s="2" t="str">
        <f ca="1"/>
        <v>''</v>
      </c>
      <c r="M43" s="2" t="str">
        <f ca="1"/>
        <v>False</v>
      </c>
      <c r="N43" s="2" t="str">
        <f ca="1"/>
        <v/>
      </c>
      <c r="O43" s="2" t="str">
        <f ca="1"/>
        <v/>
      </c>
      <c r="P43" s="2" t="str">
        <f ca="1"/>
        <v/>
      </c>
      <c r="Q43" s="2" t="str">
        <f ca="1"/>
        <v/>
      </c>
      <c r="R43" s="2" t="str">
        <f ca="1"/>
        <v/>
      </c>
      <c r="S43" s="9" t="str">
        <f ca="1"/>
        <v/>
      </c>
      <c r="T43" t="s">
        <v>206</v>
      </c>
      <c r="U43" t="str" cm="1">
        <f t="array" aca="1" ref="U43" ca="1">B43&amp;" = "&amp;D43&amp;"("&amp;_xlfn.TEXTJOIN(", ",TRUE,_xlfn.TEXTJOIN(", ",TRUE,E43:G43),_xlfn.TEXTJOIN(", ",TRUE,IF(H43:S43="","",H$2:S$2&amp;"="&amp;H43:S43)))&amp;")"</f>
        <v>name = models.CharField(max_length=30, blank=True, default='', null=False)</v>
      </c>
      <c r="V43" t="s">
        <v>206</v>
      </c>
      <c r="W43" s="23" t="s">
        <v>223</v>
      </c>
      <c r="X43" s="25" t="s">
        <v>199</v>
      </c>
      <c r="Y43" s="25"/>
      <c r="Z43" s="23"/>
      <c r="AA43" s="23"/>
      <c r="AB43" s="23"/>
      <c r="AC43" s="23"/>
      <c r="AD43" s="26"/>
      <c r="AE43" s="26" t="s">
        <v>212</v>
      </c>
      <c r="AF43" s="28" t="s">
        <v>192</v>
      </c>
      <c r="AG43" s="23" t="s">
        <v>249</v>
      </c>
      <c r="AH43" s="23" t="s">
        <v>218</v>
      </c>
      <c r="AI43" s="26"/>
      <c r="AJ43" s="23"/>
      <c r="AK43" s="23"/>
      <c r="AL43" s="23"/>
      <c r="AM43" s="23"/>
    </row>
    <row r="44" spans="1:39">
      <c r="B44" s="5" t="s">
        <v>4</v>
      </c>
      <c r="C44" s="6" t="s">
        <v>213</v>
      </c>
      <c r="D44" s="6" t="str">
        <f t="array" ref="D44:S44" ca="1">IF(ISBLANK(VLOOKUP(C44,$W$3:$AM$105,COLUMN(OFFSET($B$1,0,0,1,16)),FALSE)),"",VLOOKUP(C44,$W$3:$AM$105,COLUMN(OFFSET($B$1,0,0,1,16)),FALSE))</f>
        <v>models.CharField</v>
      </c>
      <c r="E44" s="8" t="str">
        <f ca="1"/>
        <v/>
      </c>
      <c r="F44" s="2" t="str">
        <f ca="1"/>
        <v/>
      </c>
      <c r="G44" s="9" t="str">
        <f ca="1"/>
        <v/>
      </c>
      <c r="H44" s="11" t="str">
        <f ca="1"/>
        <v/>
      </c>
      <c r="I44" s="2" t="str">
        <f ca="1"/>
        <v/>
      </c>
      <c r="J44" s="2">
        <f ca="1"/>
        <v>100</v>
      </c>
      <c r="K44" s="2" t="str">
        <f ca="1"/>
        <v>True</v>
      </c>
      <c r="L44" s="2" t="str">
        <f ca="1"/>
        <v>''</v>
      </c>
      <c r="M44" s="2" t="str">
        <f ca="1"/>
        <v>False</v>
      </c>
      <c r="N44" s="2" t="str">
        <f ca="1"/>
        <v/>
      </c>
      <c r="O44" s="2" t="str">
        <f ca="1"/>
        <v/>
      </c>
      <c r="P44" s="2" t="str">
        <f ca="1"/>
        <v/>
      </c>
      <c r="Q44" s="2" t="str">
        <f ca="1"/>
        <v/>
      </c>
      <c r="R44" s="2" t="str">
        <f ca="1"/>
        <v/>
      </c>
      <c r="S44" s="9" t="str">
        <f ca="1"/>
        <v/>
      </c>
      <c r="T44" t="s">
        <v>206</v>
      </c>
      <c r="U44" t="str" cm="1">
        <f t="array" aca="1" ref="U44" ca="1">B44&amp;" = "&amp;D44&amp;"("&amp;_xlfn.TEXTJOIN(", ",TRUE,_xlfn.TEXTJOIN(", ",TRUE,E44:G44),_xlfn.TEXTJOIN(", ",TRUE,IF(H44:S44="","",H$2:S$2&amp;"="&amp;H44:S44)))&amp;")"</f>
        <v>address = models.CharField(max_length=100, blank=True, default='', null=False)</v>
      </c>
      <c r="V44" t="s">
        <v>206</v>
      </c>
      <c r="W44" s="25" t="s">
        <v>225</v>
      </c>
      <c r="X44" s="25" t="s">
        <v>199</v>
      </c>
      <c r="Y44" s="25"/>
      <c r="Z44" s="23"/>
      <c r="AA44" s="23"/>
      <c r="AB44" s="23"/>
      <c r="AC44" s="23"/>
      <c r="AD44" s="26"/>
      <c r="AE44" s="26" t="s">
        <v>212</v>
      </c>
      <c r="AF44" s="28" t="s">
        <v>192</v>
      </c>
      <c r="AG44" s="23" t="s">
        <v>249</v>
      </c>
      <c r="AH44" s="23" t="s">
        <v>220</v>
      </c>
      <c r="AI44" s="26"/>
      <c r="AJ44" s="23"/>
      <c r="AK44" s="23"/>
      <c r="AL44" s="23"/>
      <c r="AM44" s="23"/>
    </row>
    <row r="45" spans="1:39">
      <c r="B45" s="5" t="s">
        <v>6</v>
      </c>
      <c r="C45" s="6" t="s">
        <v>213</v>
      </c>
      <c r="D45" s="6" t="str">
        <f t="array" ref="D45:S45" ca="1">IF(ISBLANK(VLOOKUP(C45,$W$3:$AM$105,COLUMN(OFFSET($B$1,0,0,1,16)),FALSE)),"",VLOOKUP(C45,$W$3:$AM$105,COLUMN(OFFSET($B$1,0,0,1,16)),FALSE))</f>
        <v>models.CharField</v>
      </c>
      <c r="E45" s="8" t="str">
        <f ca="1"/>
        <v/>
      </c>
      <c r="F45" s="2" t="str">
        <f ca="1"/>
        <v/>
      </c>
      <c r="G45" s="9" t="str">
        <f ca="1"/>
        <v/>
      </c>
      <c r="H45" s="11" t="str">
        <f ca="1"/>
        <v/>
      </c>
      <c r="I45" s="2" t="str">
        <f ca="1"/>
        <v/>
      </c>
      <c r="J45" s="2">
        <f ca="1"/>
        <v>100</v>
      </c>
      <c r="K45" s="2" t="str">
        <f ca="1"/>
        <v>True</v>
      </c>
      <c r="L45" s="2" t="str">
        <f ca="1"/>
        <v>''</v>
      </c>
      <c r="M45" s="2" t="str">
        <f ca="1"/>
        <v>False</v>
      </c>
      <c r="N45" s="2" t="str">
        <f ca="1"/>
        <v/>
      </c>
      <c r="O45" s="2" t="str">
        <f ca="1"/>
        <v/>
      </c>
      <c r="P45" s="2" t="str">
        <f ca="1"/>
        <v/>
      </c>
      <c r="Q45" s="2" t="str">
        <f ca="1"/>
        <v/>
      </c>
      <c r="R45" s="2" t="str">
        <f ca="1"/>
        <v/>
      </c>
      <c r="S45" s="9" t="str">
        <f ca="1"/>
        <v/>
      </c>
      <c r="T45" t="s">
        <v>206</v>
      </c>
      <c r="U45" t="str" cm="1">
        <f t="array" aca="1" ref="U45" ca="1">B45&amp;" = "&amp;D45&amp;"("&amp;_xlfn.TEXTJOIN(", ",TRUE,_xlfn.TEXTJOIN(", ",TRUE,E45:G45),_xlfn.TEXTJOIN(", ",TRUE,IF(H45:S45="","",H$2:S$2&amp;"="&amp;H45:S45)))&amp;")"</f>
        <v>address2 = models.CharField(max_length=100, blank=True, default='', null=False)</v>
      </c>
      <c r="V45" t="s">
        <v>206</v>
      </c>
      <c r="W45" s="25" t="s">
        <v>224</v>
      </c>
      <c r="X45" s="25" t="s">
        <v>199</v>
      </c>
      <c r="Y45" s="25"/>
      <c r="Z45" s="26"/>
      <c r="AA45" s="26"/>
      <c r="AB45" s="26"/>
      <c r="AC45" s="26"/>
      <c r="AD45" s="26"/>
      <c r="AE45" s="26" t="s">
        <v>212</v>
      </c>
      <c r="AF45" s="28" t="s">
        <v>192</v>
      </c>
      <c r="AG45" s="23" t="s">
        <v>249</v>
      </c>
      <c r="AH45" s="23" t="s">
        <v>214</v>
      </c>
      <c r="AI45" s="26"/>
      <c r="AJ45" s="26"/>
      <c r="AK45" s="23"/>
      <c r="AL45" s="23"/>
      <c r="AM45" s="23"/>
    </row>
    <row r="46" spans="1:39">
      <c r="B46" s="5" t="s">
        <v>8</v>
      </c>
      <c r="C46" s="7" t="s">
        <v>267</v>
      </c>
      <c r="D46" s="6" t="str">
        <f t="array" ref="D46:S46" ca="1">IF(ISBLANK(VLOOKUP(C46,$W$3:$AM$105,COLUMN(OFFSET($B$1,0,0,1,16)),FALSE)),"",VLOOKUP(C46,$W$3:$AM$105,COLUMN(OFFSET($B$1,0,0,1,16)),FALSE))</f>
        <v>models.CharField</v>
      </c>
      <c r="E46" s="8" t="str">
        <f ca="1"/>
        <v/>
      </c>
      <c r="F46" s="2" t="str">
        <f ca="1"/>
        <v/>
      </c>
      <c r="G46" s="9" t="str">
        <f ca="1"/>
        <v/>
      </c>
      <c r="H46" s="11" t="str">
        <f ca="1"/>
        <v/>
      </c>
      <c r="I46" s="2" t="str">
        <f ca="1"/>
        <v/>
      </c>
      <c r="J46" s="2">
        <f ca="1"/>
        <v>30</v>
      </c>
      <c r="K46" s="2" t="str">
        <f ca="1"/>
        <v>True</v>
      </c>
      <c r="L46" s="2" t="str">
        <f ca="1"/>
        <v>''</v>
      </c>
      <c r="M46" s="2" t="str">
        <f ca="1"/>
        <v>False</v>
      </c>
      <c r="N46" s="2" t="str">
        <f ca="1"/>
        <v/>
      </c>
      <c r="O46" s="2" t="str">
        <f ca="1"/>
        <v/>
      </c>
      <c r="P46" s="2" t="str">
        <f ca="1"/>
        <v/>
      </c>
      <c r="Q46" s="2" t="str">
        <f ca="1"/>
        <v/>
      </c>
      <c r="R46" s="2" t="str">
        <f ca="1"/>
        <v/>
      </c>
      <c r="S46" s="9" t="str">
        <f ca="1"/>
        <v/>
      </c>
      <c r="T46" t="s">
        <v>206</v>
      </c>
      <c r="U46" t="str" cm="1">
        <f t="array" aca="1" ref="U46" ca="1">B46&amp;" = "&amp;D46&amp;"("&amp;_xlfn.TEXTJOIN(", ",TRUE,_xlfn.TEXTJOIN(", ",TRUE,E46:G46),_xlfn.TEXTJOIN(", ",TRUE,IF(H46:S46="","",H$2:S$2&amp;"="&amp;H46:S46)))&amp;")"</f>
        <v>city = models.CharField(max_length=30, blank=True, default='', null=False)</v>
      </c>
      <c r="V46" t="s">
        <v>206</v>
      </c>
      <c r="W46" s="23" t="s">
        <v>248</v>
      </c>
      <c r="X46" s="23" t="s">
        <v>250</v>
      </c>
      <c r="Y46" s="25"/>
      <c r="Z46" s="23"/>
      <c r="AA46" s="23"/>
      <c r="AB46" s="23"/>
      <c r="AC46" s="23"/>
      <c r="AD46" s="23"/>
      <c r="AE46" s="26" t="s">
        <v>212</v>
      </c>
      <c r="AF46" s="26" t="s">
        <v>100</v>
      </c>
      <c r="AG46" s="23" t="s">
        <v>249</v>
      </c>
      <c r="AH46" s="23"/>
      <c r="AI46" s="23"/>
      <c r="AJ46" s="23"/>
      <c r="AK46" s="23"/>
      <c r="AL46" s="23"/>
      <c r="AM46" s="23"/>
    </row>
    <row r="47" spans="1:39">
      <c r="B47" s="5" t="s">
        <v>10</v>
      </c>
      <c r="C47" s="7" t="s">
        <v>340</v>
      </c>
      <c r="D47" s="6" t="str">
        <f t="array" ref="D47:S47" ca="1">IF(ISBLANK(VLOOKUP(C47,$W$3:$AM$105,COLUMN(OFFSET($B$1,0,0,1,16)),FALSE)),"",VLOOKUP(C47,$W$3:$AM$105,COLUMN(OFFSET($B$1,0,0,1,16)),FALSE))</f>
        <v>models.CharField</v>
      </c>
      <c r="E47" s="8" t="str">
        <f ca="1"/>
        <v/>
      </c>
      <c r="F47" s="2" t="str">
        <f ca="1"/>
        <v/>
      </c>
      <c r="G47" s="9" t="str">
        <f ca="1"/>
        <v/>
      </c>
      <c r="H47" s="11" t="str">
        <f ca="1"/>
        <v/>
      </c>
      <c r="I47" s="2" t="str">
        <f ca="1"/>
        <v/>
      </c>
      <c r="J47" s="2">
        <f ca="1"/>
        <v>2</v>
      </c>
      <c r="K47" s="2" t="str">
        <f ca="1"/>
        <v>True</v>
      </c>
      <c r="L47" s="2" t="str">
        <f ca="1"/>
        <v>''</v>
      </c>
      <c r="M47" s="2" t="str">
        <f ca="1"/>
        <v>False</v>
      </c>
      <c r="N47" s="2" t="str">
        <f ca="1"/>
        <v/>
      </c>
      <c r="O47" s="2" t="str">
        <f ca="1"/>
        <v/>
      </c>
      <c r="P47" s="2" t="str">
        <f ca="1"/>
        <v/>
      </c>
      <c r="Q47" s="2" t="str">
        <f ca="1"/>
        <v>ST_LIST</v>
      </c>
      <c r="R47" s="2" t="str">
        <f ca="1"/>
        <v/>
      </c>
      <c r="S47" s="9" t="str">
        <f ca="1"/>
        <v/>
      </c>
      <c r="T47" t="s">
        <v>206</v>
      </c>
      <c r="U47" t="str" cm="1">
        <f t="array" aca="1" ref="U47" ca="1">B47&amp;" = "&amp;D47&amp;"("&amp;_xlfn.TEXTJOIN(", ",TRUE,_xlfn.TEXTJOIN(", ",TRUE,E47:G47),_xlfn.TEXTJOIN(", ",TRUE,IF(H47:S47="","",H$2:S$2&amp;"="&amp;H47:S47)))&amp;")"</f>
        <v>state = models.CharField(max_length=2, blank=True, default='', null=False, choices=ST_LIST)</v>
      </c>
      <c r="V47" t="s">
        <v>206</v>
      </c>
      <c r="W47" s="25" t="s">
        <v>403</v>
      </c>
      <c r="X47" s="25" t="s">
        <v>189</v>
      </c>
      <c r="Y47" s="25" t="s">
        <v>333</v>
      </c>
      <c r="Z47" s="26"/>
      <c r="AA47" s="26"/>
      <c r="AB47" s="23" t="s">
        <v>343</v>
      </c>
      <c r="AC47" s="26" t="s">
        <v>212</v>
      </c>
      <c r="AD47" s="26"/>
      <c r="AE47" s="23"/>
      <c r="AF47" s="26"/>
      <c r="AG47" s="26"/>
      <c r="AH47" s="26"/>
      <c r="AI47" s="26"/>
      <c r="AJ47" s="26"/>
      <c r="AK47" s="23"/>
      <c r="AL47" s="23"/>
      <c r="AM47" s="23"/>
    </row>
    <row r="48" spans="1:39">
      <c r="B48" s="5" t="s">
        <v>12</v>
      </c>
      <c r="C48" s="7" t="s">
        <v>265</v>
      </c>
      <c r="D48" s="6" t="str">
        <f t="array" ref="D48:S48" ca="1">IF(ISBLANK(VLOOKUP(C48,$W$3:$AM$105,COLUMN(OFFSET($B$1,0,0,1,16)),FALSE)),"",VLOOKUP(C48,$W$3:$AM$105,COLUMN(OFFSET($B$1,0,0,1,16)),FALSE))</f>
        <v>models.CharField</v>
      </c>
      <c r="E48" s="8" t="str">
        <f ca="1"/>
        <v/>
      </c>
      <c r="F48" s="2" t="str">
        <f ca="1"/>
        <v/>
      </c>
      <c r="G48" s="9" t="str">
        <f ca="1"/>
        <v/>
      </c>
      <c r="H48" s="11" t="str">
        <f ca="1"/>
        <v/>
      </c>
      <c r="I48" s="2" t="str">
        <f ca="1"/>
        <v/>
      </c>
      <c r="J48" s="2">
        <f ca="1"/>
        <v>5</v>
      </c>
      <c r="K48" s="2" t="str">
        <f ca="1"/>
        <v>True</v>
      </c>
      <c r="L48" s="2" t="str">
        <f ca="1"/>
        <v>''</v>
      </c>
      <c r="M48" s="2" t="str">
        <f ca="1"/>
        <v>False</v>
      </c>
      <c r="N48" s="2" t="str">
        <f ca="1"/>
        <v/>
      </c>
      <c r="O48" s="2" t="str">
        <f ca="1"/>
        <v/>
      </c>
      <c r="P48" s="2" t="str">
        <f ca="1"/>
        <v/>
      </c>
      <c r="Q48" s="2" t="str">
        <f ca="1"/>
        <v/>
      </c>
      <c r="R48" s="2" t="str">
        <f ca="1"/>
        <v/>
      </c>
      <c r="S48" s="9" t="str">
        <f ca="1"/>
        <v/>
      </c>
      <c r="T48" t="s">
        <v>206</v>
      </c>
      <c r="U48" t="str" cm="1">
        <f t="array" aca="1" ref="U48" ca="1">B48&amp;" = "&amp;D48&amp;"("&amp;_xlfn.TEXTJOIN(", ",TRUE,_xlfn.TEXTJOIN(", ",TRUE,E48:G48),_xlfn.TEXTJOIN(", ",TRUE,IF(H48:S48="","",H$2:S$2&amp;"="&amp;H48:S48)))&amp;")"</f>
        <v>zip = models.CharField(max_length=5, blank=True, default='', null=False)</v>
      </c>
      <c r="V48" t="s">
        <v>206</v>
      </c>
      <c r="W48" s="25" t="s">
        <v>14</v>
      </c>
      <c r="X48" s="25" t="s">
        <v>540</v>
      </c>
      <c r="Y48" s="25"/>
      <c r="Z48" s="26"/>
      <c r="AA48" s="26"/>
      <c r="AB48" s="26"/>
      <c r="AC48" s="26"/>
      <c r="AD48" s="26"/>
      <c r="AE48" s="26" t="s">
        <v>212</v>
      </c>
      <c r="AF48" s="26"/>
      <c r="AG48" s="26"/>
      <c r="AH48" s="26"/>
      <c r="AI48" s="26"/>
      <c r="AJ48" s="26"/>
      <c r="AK48" s="23"/>
      <c r="AL48" s="23"/>
      <c r="AM48" s="30" t="s">
        <v>542</v>
      </c>
    </row>
    <row r="49" spans="1:39">
      <c r="B49" s="5" t="s">
        <v>14</v>
      </c>
      <c r="C49" s="6" t="s">
        <v>14</v>
      </c>
      <c r="D49" s="6" t="str">
        <f t="array" ref="D49:S49" ca="1">IF(ISBLANK(VLOOKUP(C49,$W$3:$AM$105,COLUMN(OFFSET($B$1,0,0,1,16)),FALSE)),"",VLOOKUP(C49,$W$3:$AM$105,COLUMN(OFFSET($B$1,0,0,1,16)),FALSE))</f>
        <v>PhoneNumberField</v>
      </c>
      <c r="E49" s="8" t="str">
        <f ca="1"/>
        <v/>
      </c>
      <c r="F49" s="2" t="str">
        <f ca="1"/>
        <v/>
      </c>
      <c r="G49" s="9" t="str">
        <f ca="1"/>
        <v/>
      </c>
      <c r="H49" s="11" t="str">
        <f ca="1"/>
        <v/>
      </c>
      <c r="I49" s="2" t="str">
        <f ca="1"/>
        <v/>
      </c>
      <c r="J49" s="2" t="str">
        <f ca="1"/>
        <v/>
      </c>
      <c r="K49" s="2" t="str">
        <f ca="1"/>
        <v>True</v>
      </c>
      <c r="L49" s="2" t="str">
        <f ca="1"/>
        <v/>
      </c>
      <c r="M49" s="2" t="str">
        <f ca="1"/>
        <v/>
      </c>
      <c r="N49" s="2" t="str">
        <f ca="1"/>
        <v/>
      </c>
      <c r="O49" s="2" t="str">
        <f ca="1"/>
        <v/>
      </c>
      <c r="P49" s="2" t="str">
        <f ca="1"/>
        <v/>
      </c>
      <c r="Q49" s="2" t="str">
        <f ca="1"/>
        <v/>
      </c>
      <c r="R49" s="2" t="str">
        <f ca="1"/>
        <v/>
      </c>
      <c r="S49" s="9" t="str">
        <f ca="1"/>
        <v>'US'</v>
      </c>
      <c r="T49" t="s">
        <v>206</v>
      </c>
      <c r="U49" t="str" cm="1">
        <f t="array" aca="1" ref="U49" ca="1">B49&amp;" = "&amp;D49&amp;"("&amp;_xlfn.TEXTJOIN(", ",TRUE,_xlfn.TEXTJOIN(", ",TRUE,E49:G49),_xlfn.TEXTJOIN(", ",TRUE,IF(H49:S49="","",H$2:S$2&amp;"="&amp;H49:S49)))&amp;")"</f>
        <v>phone = PhoneNumberField(blank=True, region='US')</v>
      </c>
      <c r="V49" t="s">
        <v>206</v>
      </c>
      <c r="W49" s="25" t="s">
        <v>210</v>
      </c>
      <c r="X49" s="25" t="s">
        <v>189</v>
      </c>
      <c r="Y49" s="25" t="s">
        <v>3</v>
      </c>
      <c r="Z49" s="26"/>
      <c r="AA49" s="26"/>
      <c r="AB49" s="23" t="s">
        <v>343</v>
      </c>
      <c r="AC49" s="26" t="s">
        <v>212</v>
      </c>
      <c r="AD49" s="26"/>
      <c r="AE49" s="23"/>
      <c r="AF49" s="26"/>
      <c r="AG49" s="26"/>
      <c r="AH49" s="26"/>
      <c r="AI49" s="26"/>
      <c r="AJ49" s="26"/>
      <c r="AK49" s="23"/>
      <c r="AL49" s="23"/>
      <c r="AM49" s="23"/>
    </row>
    <row r="50" spans="1:39">
      <c r="B50" s="5" t="s">
        <v>78</v>
      </c>
      <c r="C50" s="6" t="s">
        <v>213</v>
      </c>
      <c r="D50" s="6" t="str">
        <f t="array" ref="D50:S50" ca="1">IF(ISBLANK(VLOOKUP(C50,$W$3:$AM$105,COLUMN(OFFSET($B$1,0,0,1,16)),FALSE)),"",VLOOKUP(C50,$W$3:$AM$105,COLUMN(OFFSET($B$1,0,0,1,16)),FALSE))</f>
        <v>models.CharField</v>
      </c>
      <c r="E50" s="8" t="str">
        <f ca="1"/>
        <v/>
      </c>
      <c r="F50" s="2" t="str">
        <f ca="1"/>
        <v/>
      </c>
      <c r="G50" s="9" t="str">
        <f ca="1"/>
        <v/>
      </c>
      <c r="H50" s="11" t="str">
        <f ca="1"/>
        <v/>
      </c>
      <c r="I50" s="2" t="str">
        <f ca="1"/>
        <v/>
      </c>
      <c r="J50" s="2">
        <f ca="1"/>
        <v>100</v>
      </c>
      <c r="K50" s="2" t="str">
        <f ca="1"/>
        <v>True</v>
      </c>
      <c r="L50" s="2" t="str">
        <f ca="1"/>
        <v>''</v>
      </c>
      <c r="M50" s="2" t="str">
        <f ca="1"/>
        <v>False</v>
      </c>
      <c r="N50" s="2" t="str">
        <f ca="1"/>
        <v/>
      </c>
      <c r="O50" s="2" t="str">
        <f ca="1"/>
        <v/>
      </c>
      <c r="P50" s="2" t="str">
        <f ca="1"/>
        <v/>
      </c>
      <c r="Q50" s="2" t="str">
        <f ca="1"/>
        <v/>
      </c>
      <c r="R50" s="2" t="str">
        <f ca="1"/>
        <v/>
      </c>
      <c r="S50" s="9" t="str">
        <f ca="1"/>
        <v/>
      </c>
      <c r="T50" t="s">
        <v>206</v>
      </c>
      <c r="U50" t="str" cm="1">
        <f t="array" aca="1" ref="U50" ca="1">B50&amp;" = "&amp;D50&amp;"("&amp;_xlfn.TEXTJOIN(", ",TRUE,_xlfn.TEXTJOIN(", ",TRUE,E50:G50),_xlfn.TEXTJOIN(", ",TRUE,IF(H50:S50="","",H$2:S$2&amp;"="&amp;H50:S50)))&amp;")"</f>
        <v>email = models.CharField(max_length=100, blank=True, default='', null=False)</v>
      </c>
      <c r="V50" t="s">
        <v>206</v>
      </c>
      <c r="W50" s="25" t="s">
        <v>405</v>
      </c>
      <c r="X50" s="23" t="s">
        <v>242</v>
      </c>
      <c r="Y50" s="25" t="s">
        <v>27</v>
      </c>
      <c r="Z50" s="23"/>
      <c r="AA50" s="23"/>
      <c r="AB50" s="23" t="s">
        <v>237</v>
      </c>
      <c r="AC50" s="23"/>
      <c r="AD50" s="26"/>
      <c r="AE50" s="26" t="s">
        <v>249</v>
      </c>
      <c r="AF50" s="26" t="s">
        <v>196</v>
      </c>
      <c r="AG50" s="26" t="s">
        <v>212</v>
      </c>
      <c r="AH50" s="23"/>
      <c r="AI50" s="23"/>
      <c r="AJ50" s="23"/>
      <c r="AK50" s="23"/>
      <c r="AL50" s="30"/>
      <c r="AM50" s="30"/>
    </row>
    <row r="51" spans="1:39">
      <c r="A51" s="5" t="s">
        <v>94</v>
      </c>
      <c r="B51" s="5" t="s">
        <v>95</v>
      </c>
      <c r="C51" s="6" t="s">
        <v>243</v>
      </c>
      <c r="D51" s="6" t="str">
        <f t="array" ref="D51:S51" ca="1">IF(ISBLANK(VLOOKUP(C51,$W$3:$AM$105,COLUMN(OFFSET($B$1,0,0,1,16)),FALSE)),"",VLOOKUP(C51,$W$3:$AM$105,COLUMN(OFFSET($B$1,0,0,1,16)),FALSE))</f>
        <v>models.ForeignKey</v>
      </c>
      <c r="E51" s="8" t="str">
        <f ca="1"/>
        <v>Store</v>
      </c>
      <c r="F51" s="2" t="str">
        <f ca="1"/>
        <v/>
      </c>
      <c r="G51" s="9" t="str">
        <f ca="1"/>
        <v/>
      </c>
      <c r="H51" s="11" t="str">
        <f ca="1"/>
        <v>models.SET_NULL</v>
      </c>
      <c r="I51" s="2" t="str">
        <f ca="1"/>
        <v/>
      </c>
      <c r="J51" s="2" t="str">
        <f ca="1"/>
        <v/>
      </c>
      <c r="K51" s="2" t="str">
        <f ca="1"/>
        <v>True</v>
      </c>
      <c r="L51" s="2" t="str">
        <f ca="1"/>
        <v>None</v>
      </c>
      <c r="M51" s="2" t="str">
        <f ca="1"/>
        <v>True</v>
      </c>
      <c r="N51" s="2" t="str">
        <f ca="1"/>
        <v/>
      </c>
      <c r="O51" s="2" t="str">
        <f ca="1"/>
        <v/>
      </c>
      <c r="P51" s="2" t="str">
        <f ca="1"/>
        <v/>
      </c>
      <c r="Q51" s="2" t="str">
        <f ca="1"/>
        <v/>
      </c>
      <c r="R51" s="2" t="str">
        <f ca="1"/>
        <v/>
      </c>
      <c r="S51" s="9" t="str">
        <f ca="1"/>
        <v/>
      </c>
      <c r="T51" t="s">
        <v>206</v>
      </c>
      <c r="U51" t="str" cm="1">
        <f t="array" aca="1" ref="U51" ca="1">B51&amp;" = "&amp;D51&amp;"("&amp;_xlfn.TEXTJOIN(", ",TRUE,_xlfn.TEXTJOIN(", ",TRUE,E51:G51),_xlfn.TEXTJOIN(", ",TRUE,IF(H51:S51="","",H$2:S$2&amp;"="&amp;H51:S51)))&amp;")"</f>
        <v>store = models.ForeignKey(Store, on_delete=models.SET_NULL, blank=True, default=None, null=True)</v>
      </c>
      <c r="V51" t="s">
        <v>206</v>
      </c>
    </row>
    <row r="52" spans="1:39">
      <c r="B52" s="5" t="s">
        <v>96</v>
      </c>
      <c r="C52" s="6" t="s">
        <v>405</v>
      </c>
      <c r="D52" s="6" t="str">
        <f t="array" ref="D52:S52" ca="1">IF(ISBLANK(VLOOKUP(C52,$W$3:$AM$105,COLUMN(OFFSET($B$1,0,0,1,16)),FALSE)),"",VLOOKUP(C52,$W$3:$AM$105,COLUMN(OFFSET($B$1,0,0,1,16)),FALSE))</f>
        <v>models.ForeignKey</v>
      </c>
      <c r="E52" s="8" t="str">
        <f ca="1"/>
        <v>Employee</v>
      </c>
      <c r="F52" s="2" t="str">
        <f ca="1"/>
        <v/>
      </c>
      <c r="G52" s="9" t="str">
        <f ca="1"/>
        <v/>
      </c>
      <c r="H52" s="11" t="str">
        <f ca="1"/>
        <v>models.SET_NULL</v>
      </c>
      <c r="I52" s="2" t="str">
        <f ca="1"/>
        <v/>
      </c>
      <c r="J52" s="2" t="str">
        <f ca="1"/>
        <v/>
      </c>
      <c r="K52" s="2" t="str">
        <f ca="1"/>
        <v>False</v>
      </c>
      <c r="L52" s="2" t="str">
        <f ca="1"/>
        <v>None</v>
      </c>
      <c r="M52" s="2" t="str">
        <f ca="1"/>
        <v>True</v>
      </c>
      <c r="N52" s="2" t="str">
        <f ca="1"/>
        <v/>
      </c>
      <c r="O52" s="2" t="str">
        <f ca="1"/>
        <v/>
      </c>
      <c r="P52" s="2" t="str">
        <f ca="1"/>
        <v/>
      </c>
      <c r="Q52" s="2" t="str">
        <f ca="1"/>
        <v/>
      </c>
      <c r="R52" s="2" t="str">
        <f ca="1"/>
        <v/>
      </c>
      <c r="S52" s="9" t="str">
        <f ca="1"/>
        <v/>
      </c>
      <c r="T52" t="s">
        <v>206</v>
      </c>
      <c r="U52" t="str" cm="1">
        <f t="array" aca="1" ref="U52" ca="1">B52&amp;" = "&amp;D52&amp;"("&amp;_xlfn.TEXTJOIN(", ",TRUE,_xlfn.TEXTJOIN(", ",TRUE,E52:G52),_xlfn.TEXTJOIN(", ",TRUE,IF(H52:S52="","",H$2:S$2&amp;"="&amp;H52:S52)))&amp;")"</f>
        <v>department_manager = models.ForeignKey(Employee, on_delete=models.SET_NULL, blank=False, default=None, null=True)</v>
      </c>
      <c r="V52" t="s">
        <v>206</v>
      </c>
    </row>
    <row r="53" spans="1:39">
      <c r="B53" s="5" t="s">
        <v>45</v>
      </c>
      <c r="C53" s="6" t="s">
        <v>267</v>
      </c>
      <c r="D53" s="6" t="str">
        <f t="array" ref="D53:S53" ca="1">IF(ISBLANK(VLOOKUP(C53,$W$3:$AM$105,COLUMN(OFFSET($B$1,0,0,1,16)),FALSE)),"",VLOOKUP(C53,$W$3:$AM$105,COLUMN(OFFSET($B$1,0,0,1,16)),FALSE))</f>
        <v>models.CharField</v>
      </c>
      <c r="E53" s="8" t="str">
        <f ca="1"/>
        <v/>
      </c>
      <c r="F53" s="2" t="str">
        <f ca="1"/>
        <v/>
      </c>
      <c r="G53" s="9" t="str">
        <f ca="1"/>
        <v/>
      </c>
      <c r="H53" s="11" t="str">
        <f ca="1"/>
        <v/>
      </c>
      <c r="I53" s="2" t="str">
        <f ca="1"/>
        <v/>
      </c>
      <c r="J53" s="2">
        <f ca="1"/>
        <v>30</v>
      </c>
      <c r="K53" s="2" t="str">
        <f ca="1"/>
        <v>True</v>
      </c>
      <c r="L53" s="2" t="str">
        <f ca="1"/>
        <v>''</v>
      </c>
      <c r="M53" s="2" t="str">
        <f ca="1"/>
        <v>False</v>
      </c>
      <c r="N53" s="2" t="str">
        <f ca="1"/>
        <v/>
      </c>
      <c r="O53" s="2" t="str">
        <f ca="1"/>
        <v/>
      </c>
      <c r="P53" s="2" t="str">
        <f ca="1"/>
        <v/>
      </c>
      <c r="Q53" s="2" t="str">
        <f ca="1"/>
        <v/>
      </c>
      <c r="R53" s="2" t="str">
        <f ca="1"/>
        <v/>
      </c>
      <c r="S53" s="9" t="str">
        <f ca="1"/>
        <v/>
      </c>
      <c r="T53" t="s">
        <v>206</v>
      </c>
      <c r="U53" t="str" cm="1">
        <f t="array" aca="1" ref="U53" ca="1">B53&amp;" = "&amp;D53&amp;"("&amp;_xlfn.TEXTJOIN(", ",TRUE,_xlfn.TEXTJOIN(", ",TRUE,E53:G53),_xlfn.TEXTJOIN(", ",TRUE,IF(H53:S53="","",H$2:S$2&amp;"="&amp;H53:S53)))&amp;")"</f>
        <v>name = models.CharField(max_length=30, blank=True, default='', null=False)</v>
      </c>
      <c r="V53" t="s">
        <v>206</v>
      </c>
    </row>
    <row r="54" spans="1:39">
      <c r="A54" s="5" t="s">
        <v>97</v>
      </c>
      <c r="B54" s="5" t="s">
        <v>98</v>
      </c>
      <c r="C54" s="6" t="s">
        <v>244</v>
      </c>
      <c r="D54" s="6" t="str">
        <f t="array" ref="D54:S54" ca="1">IF(ISBLANK(VLOOKUP(C54,$W$3:$AM$105,COLUMN(OFFSET($B$1,0,0,1,16)),FALSE)),"",VLOOKUP(C54,$W$3:$AM$105,COLUMN(OFFSET($B$1,0,0,1,16)),FALSE))</f>
        <v>models.ForeignKey</v>
      </c>
      <c r="E54" s="8" t="str">
        <f ca="1"/>
        <v>Department</v>
      </c>
      <c r="F54" s="2" t="str">
        <f ca="1"/>
        <v/>
      </c>
      <c r="G54" s="9" t="str">
        <f ca="1"/>
        <v/>
      </c>
      <c r="H54" s="11" t="str">
        <f ca="1"/>
        <v>models.SET_NULL</v>
      </c>
      <c r="I54" s="2" t="str">
        <f ca="1"/>
        <v/>
      </c>
      <c r="J54" s="2" t="str">
        <f ca="1"/>
        <v/>
      </c>
      <c r="K54" s="2" t="str">
        <f ca="1"/>
        <v>True</v>
      </c>
      <c r="L54" s="2" t="str">
        <f ca="1"/>
        <v>None</v>
      </c>
      <c r="M54" s="2" t="str">
        <f ca="1"/>
        <v>True</v>
      </c>
      <c r="N54" s="2" t="str">
        <f ca="1"/>
        <v/>
      </c>
      <c r="O54" s="2" t="str">
        <f ca="1"/>
        <v/>
      </c>
      <c r="P54" s="2" t="str">
        <f ca="1"/>
        <v/>
      </c>
      <c r="Q54" s="2" t="str">
        <f ca="1"/>
        <v/>
      </c>
      <c r="R54" s="2" t="str">
        <f ca="1"/>
        <v/>
      </c>
      <c r="S54" s="9" t="str">
        <f ca="1"/>
        <v/>
      </c>
      <c r="T54" t="s">
        <v>206</v>
      </c>
      <c r="U54" t="str" cm="1">
        <f t="array" aca="1" ref="U54" ca="1">B54&amp;" = "&amp;D54&amp;"("&amp;_xlfn.TEXTJOIN(", ",TRUE,_xlfn.TEXTJOIN(", ",TRUE,E54:G54),_xlfn.TEXTJOIN(", ",TRUE,IF(H54:S54="","",H$2:S$2&amp;"="&amp;H54:S54)))&amp;")"</f>
        <v>department = models.ForeignKey(Department, on_delete=models.SET_NULL, blank=True, default=None, null=True)</v>
      </c>
      <c r="V54" t="s">
        <v>206</v>
      </c>
    </row>
    <row r="55" spans="1:39">
      <c r="B55" s="5" t="s">
        <v>45</v>
      </c>
      <c r="C55" s="6" t="s">
        <v>267</v>
      </c>
      <c r="D55" s="6" t="str">
        <f t="array" ref="D55:S55" ca="1">IF(ISBLANK(VLOOKUP(C55,$W$3:$AM$105,COLUMN(OFFSET($B$1,0,0,1,16)),FALSE)),"",VLOOKUP(C55,$W$3:$AM$105,COLUMN(OFFSET($B$1,0,0,1,16)),FALSE))</f>
        <v>models.CharField</v>
      </c>
      <c r="E55" s="8" t="str">
        <f ca="1"/>
        <v/>
      </c>
      <c r="F55" s="2" t="str">
        <f ca="1"/>
        <v/>
      </c>
      <c r="G55" s="9" t="str">
        <f ca="1"/>
        <v/>
      </c>
      <c r="H55" s="11" t="str">
        <f ca="1"/>
        <v/>
      </c>
      <c r="I55" s="2" t="str">
        <f ca="1"/>
        <v/>
      </c>
      <c r="J55" s="2">
        <f ca="1"/>
        <v>30</v>
      </c>
      <c r="K55" s="2" t="str">
        <f ca="1"/>
        <v>True</v>
      </c>
      <c r="L55" s="2" t="str">
        <f ca="1"/>
        <v>''</v>
      </c>
      <c r="M55" s="2" t="str">
        <f ca="1"/>
        <v>False</v>
      </c>
      <c r="N55" s="2" t="str">
        <f ca="1"/>
        <v/>
      </c>
      <c r="O55" s="2" t="str">
        <f ca="1"/>
        <v/>
      </c>
      <c r="P55" s="2" t="str">
        <f ca="1"/>
        <v/>
      </c>
      <c r="Q55" s="2" t="str">
        <f ca="1"/>
        <v/>
      </c>
      <c r="R55" s="2" t="str">
        <f ca="1"/>
        <v/>
      </c>
      <c r="S55" s="9" t="str">
        <f ca="1"/>
        <v/>
      </c>
      <c r="T55" t="s">
        <v>206</v>
      </c>
      <c r="U55" t="str" cm="1">
        <f t="array" aca="1" ref="U55" ca="1">B55&amp;" = "&amp;D55&amp;"("&amp;_xlfn.TEXTJOIN(", ",TRUE,_xlfn.TEXTJOIN(", ",TRUE,E55:G55),_xlfn.TEXTJOIN(", ",TRUE,IF(H55:S55="","",H$2:S$2&amp;"="&amp;H55:S55)))&amp;")"</f>
        <v>name = models.CharField(max_length=30, blank=True, default='', null=False)</v>
      </c>
      <c r="V55" t="s">
        <v>206</v>
      </c>
    </row>
    <row r="56" spans="1:39">
      <c r="A56" s="5" t="s">
        <v>99</v>
      </c>
      <c r="B56" s="5" t="s">
        <v>95</v>
      </c>
      <c r="C56" s="6" t="s">
        <v>243</v>
      </c>
      <c r="D56" s="6" t="str">
        <f t="array" ref="D56:S56" ca="1">IF(ISBLANK(VLOOKUP(C56,$W$3:$AM$105,COLUMN(OFFSET($B$1,0,0,1,16)),FALSE)),"",VLOOKUP(C56,$W$3:$AM$105,COLUMN(OFFSET($B$1,0,0,1,16)),FALSE))</f>
        <v>models.ForeignKey</v>
      </c>
      <c r="E56" s="8" t="str">
        <f ca="1"/>
        <v>Store</v>
      </c>
      <c r="F56" s="2" t="str">
        <f ca="1"/>
        <v/>
      </c>
      <c r="G56" s="9" t="str">
        <f ca="1"/>
        <v/>
      </c>
      <c r="H56" s="11" t="str">
        <f ca="1"/>
        <v>models.SET_NULL</v>
      </c>
      <c r="I56" s="2" t="str">
        <f ca="1"/>
        <v/>
      </c>
      <c r="J56" s="2" t="str">
        <f ca="1"/>
        <v/>
      </c>
      <c r="K56" s="2" t="str">
        <f ca="1"/>
        <v>True</v>
      </c>
      <c r="L56" s="2" t="str">
        <f ca="1"/>
        <v>None</v>
      </c>
      <c r="M56" s="2" t="str">
        <f ca="1"/>
        <v>True</v>
      </c>
      <c r="N56" s="2" t="str">
        <f ca="1"/>
        <v/>
      </c>
      <c r="O56" s="2" t="str">
        <f ca="1"/>
        <v/>
      </c>
      <c r="P56" s="2" t="str">
        <f ca="1"/>
        <v/>
      </c>
      <c r="Q56" s="2" t="str">
        <f ca="1"/>
        <v/>
      </c>
      <c r="R56" s="2" t="str">
        <f ca="1"/>
        <v/>
      </c>
      <c r="S56" s="9" t="str">
        <f ca="1"/>
        <v/>
      </c>
      <c r="T56" t="s">
        <v>206</v>
      </c>
      <c r="U56" t="str" cm="1">
        <f t="array" aca="1" ref="U56" ca="1">B56&amp;" = "&amp;D56&amp;"("&amp;_xlfn.TEXTJOIN(", ",TRUE,_xlfn.TEXTJOIN(", ",TRUE,E56:G56),_xlfn.TEXTJOIN(", ",TRUE,IF(H56:S56="","",H$2:S$2&amp;"="&amp;H56:S56)))&amp;")"</f>
        <v>store = models.ForeignKey(Store, on_delete=models.SET_NULL, blank=True, default=None, null=True)</v>
      </c>
      <c r="V56" t="s">
        <v>206</v>
      </c>
    </row>
    <row r="57" spans="1:39">
      <c r="B57" s="5" t="s">
        <v>45</v>
      </c>
      <c r="C57" s="6" t="s">
        <v>267</v>
      </c>
      <c r="D57" s="6" t="str">
        <f t="array" ref="D57:S57" ca="1">IF(ISBLANK(VLOOKUP(C57,$W$3:$AM$105,COLUMN(OFFSET($B$1,0,0,1,16)),FALSE)),"",VLOOKUP(C57,$W$3:$AM$105,COLUMN(OFFSET($B$1,0,0,1,16)),FALSE))</f>
        <v>models.CharField</v>
      </c>
      <c r="E57" s="8" t="str">
        <f ca="1"/>
        <v/>
      </c>
      <c r="F57" s="2" t="str">
        <f ca="1"/>
        <v/>
      </c>
      <c r="G57" s="9" t="str">
        <f ca="1"/>
        <v/>
      </c>
      <c r="H57" s="11" t="str">
        <f ca="1"/>
        <v/>
      </c>
      <c r="I57" s="2" t="str">
        <f ca="1"/>
        <v/>
      </c>
      <c r="J57" s="2">
        <f ca="1"/>
        <v>30</v>
      </c>
      <c r="K57" s="2" t="str">
        <f ca="1"/>
        <v>True</v>
      </c>
      <c r="L57" s="2" t="str">
        <f ca="1"/>
        <v>''</v>
      </c>
      <c r="M57" s="2" t="str">
        <f ca="1"/>
        <v>False</v>
      </c>
      <c r="N57" s="2" t="str">
        <f ca="1"/>
        <v/>
      </c>
      <c r="O57" s="2" t="str">
        <f ca="1"/>
        <v/>
      </c>
      <c r="P57" s="2" t="str">
        <f ca="1"/>
        <v/>
      </c>
      <c r="Q57" s="2" t="str">
        <f ca="1"/>
        <v/>
      </c>
      <c r="R57" s="2" t="str">
        <f ca="1"/>
        <v/>
      </c>
      <c r="S57" s="9" t="str">
        <f ca="1"/>
        <v/>
      </c>
      <c r="T57" t="s">
        <v>206</v>
      </c>
      <c r="U57" t="str" cm="1">
        <f t="array" aca="1" ref="U57" ca="1">B57&amp;" = "&amp;D57&amp;"("&amp;_xlfn.TEXTJOIN(", ",TRUE,_xlfn.TEXTJOIN(", ",TRUE,E57:G57),_xlfn.TEXTJOIN(", ",TRUE,IF(H57:S57="","",H$2:S$2&amp;"="&amp;H57:S57)))&amp;")"</f>
        <v>name = models.CharField(max_length=30, blank=True, default='', null=False)</v>
      </c>
    </row>
    <row r="58" spans="1:39">
      <c r="B58" s="5" t="s">
        <v>47</v>
      </c>
      <c r="C58" s="6" t="s">
        <v>213</v>
      </c>
      <c r="D58" s="6" t="str">
        <f t="array" ref="D58:S58" ca="1">IF(ISBLANK(VLOOKUP(C58,$W$3:$AM$105,COLUMN(OFFSET($B$1,0,0,1,16)),FALSE)),"",VLOOKUP(C58,$W$3:$AM$105,COLUMN(OFFSET($B$1,0,0,1,16)),FALSE))</f>
        <v>models.CharField</v>
      </c>
      <c r="E58" s="8" t="str">
        <f ca="1"/>
        <v/>
      </c>
      <c r="F58" s="2" t="str">
        <f ca="1"/>
        <v/>
      </c>
      <c r="G58" s="9" t="str">
        <f ca="1"/>
        <v/>
      </c>
      <c r="H58" s="11" t="str">
        <f ca="1"/>
        <v/>
      </c>
      <c r="I58" s="2" t="str">
        <f ca="1"/>
        <v/>
      </c>
      <c r="J58" s="2">
        <f ca="1"/>
        <v>100</v>
      </c>
      <c r="K58" s="2" t="str">
        <f ca="1"/>
        <v>True</v>
      </c>
      <c r="L58" s="2" t="str">
        <f ca="1"/>
        <v>''</v>
      </c>
      <c r="M58" s="2" t="str">
        <f ca="1"/>
        <v>False</v>
      </c>
      <c r="N58" s="2" t="str">
        <f ca="1"/>
        <v/>
      </c>
      <c r="O58" s="2" t="str">
        <f ca="1"/>
        <v/>
      </c>
      <c r="P58" s="2" t="str">
        <f ca="1"/>
        <v/>
      </c>
      <c r="Q58" s="2" t="str">
        <f ca="1"/>
        <v/>
      </c>
      <c r="R58" s="2" t="str">
        <f ca="1"/>
        <v/>
      </c>
      <c r="S58" s="9" t="str">
        <f ca="1"/>
        <v/>
      </c>
      <c r="T58" t="s">
        <v>206</v>
      </c>
      <c r="U58" t="str" cm="1">
        <f t="array" aca="1" ref="U58" ca="1">B58&amp;" = "&amp;D58&amp;"("&amp;_xlfn.TEXTJOIN(", ",TRUE,_xlfn.TEXTJOIN(", ",TRUE,E58:G58),_xlfn.TEXTJOIN(", ",TRUE,IF(H58:S58="","",H$2:S$2&amp;"="&amp;H58:S58)))&amp;")"</f>
        <v>description = models.CharField(max_length=100, blank=True, default='', null=False)</v>
      </c>
      <c r="V58" t="s">
        <v>206</v>
      </c>
    </row>
    <row r="59" spans="1:39">
      <c r="A59" s="5" t="s">
        <v>77</v>
      </c>
      <c r="B59" s="5" t="s">
        <v>263</v>
      </c>
      <c r="C59" s="6" t="s">
        <v>264</v>
      </c>
      <c r="D59" s="6" t="str">
        <f t="array" ref="D59:S59" ca="1">IF(ISBLANK(VLOOKUP(C59,$W$3:$AM$105,COLUMN(OFFSET($B$1,0,0,1,16)),FALSE)),"",VLOOKUP(C59,$W$3:$AM$105,COLUMN(OFFSET($B$1,0,0,1,16)),FALSE))</f>
        <v>models.ForeignKey</v>
      </c>
      <c r="E59" s="8" t="str">
        <f ca="1"/>
        <v>Section</v>
      </c>
      <c r="F59" s="2" t="str">
        <f ca="1"/>
        <v/>
      </c>
      <c r="G59" s="9" t="str">
        <f ca="1"/>
        <v/>
      </c>
      <c r="H59" s="11" t="str">
        <f ca="1"/>
        <v>models.SET_NULL</v>
      </c>
      <c r="I59" s="2" t="str">
        <f ca="1"/>
        <v/>
      </c>
      <c r="J59" s="2" t="str">
        <f ca="1"/>
        <v/>
      </c>
      <c r="K59" s="2" t="str">
        <f ca="1"/>
        <v>True</v>
      </c>
      <c r="L59" s="2" t="str">
        <f ca="1"/>
        <v>None</v>
      </c>
      <c r="M59" s="2" t="str">
        <f ca="1"/>
        <v>True</v>
      </c>
      <c r="N59" s="2" t="str">
        <f ca="1"/>
        <v/>
      </c>
      <c r="O59" s="2" t="str">
        <f ca="1"/>
        <v/>
      </c>
      <c r="P59" s="2" t="str">
        <f ca="1"/>
        <v/>
      </c>
      <c r="Q59" s="2" t="str">
        <f ca="1"/>
        <v/>
      </c>
      <c r="R59" s="2" t="str">
        <f ca="1"/>
        <v/>
      </c>
      <c r="S59" s="9" t="str">
        <f ca="1"/>
        <v/>
      </c>
      <c r="T59" t="s">
        <v>206</v>
      </c>
      <c r="U59" t="str" cm="1">
        <f t="array" aca="1" ref="U59" ca="1">B59&amp;" = "&amp;D59&amp;"("&amp;_xlfn.TEXTJOIN(", ",TRUE,_xlfn.TEXTJOIN(", ",TRUE,E59:G59),_xlfn.TEXTJOIN(", ",TRUE,IF(H59:S59="","",H$2:S$2&amp;"="&amp;H59:S59)))&amp;")"</f>
        <v>section = models.ForeignKey(Section, on_delete=models.SET_NULL, blank=True, default=None, null=True)</v>
      </c>
      <c r="V59" t="s">
        <v>206</v>
      </c>
    </row>
    <row r="60" spans="1:39">
      <c r="B60" s="5" t="s">
        <v>319</v>
      </c>
      <c r="C60" s="6" t="s">
        <v>265</v>
      </c>
      <c r="D60" s="6" t="str">
        <f t="array" ref="D60:S60" ca="1">IF(ISBLANK(VLOOKUP(C60,$W$3:$AM$105,COLUMN(OFFSET($B$1,0,0,1,16)),FALSE)),"",VLOOKUP(C60,$W$3:$AM$105,COLUMN(OFFSET($B$1,0,0,1,16)),FALSE))</f>
        <v>models.CharField</v>
      </c>
      <c r="E60" s="8" t="str">
        <f ca="1"/>
        <v/>
      </c>
      <c r="F60" s="2" t="str">
        <f ca="1"/>
        <v/>
      </c>
      <c r="G60" s="9" t="str">
        <f ca="1"/>
        <v/>
      </c>
      <c r="H60" s="11" t="str">
        <f ca="1"/>
        <v/>
      </c>
      <c r="I60" s="2" t="str">
        <f ca="1"/>
        <v/>
      </c>
      <c r="J60" s="2">
        <f ca="1"/>
        <v>5</v>
      </c>
      <c r="K60" s="2" t="str">
        <f ca="1"/>
        <v>True</v>
      </c>
      <c r="L60" s="2" t="str">
        <f ca="1"/>
        <v>''</v>
      </c>
      <c r="M60" s="2" t="str">
        <f ca="1"/>
        <v>False</v>
      </c>
      <c r="N60" s="2" t="str">
        <f ca="1"/>
        <v/>
      </c>
      <c r="O60" s="2" t="str">
        <f ca="1"/>
        <v/>
      </c>
      <c r="P60" s="2" t="str">
        <f ca="1"/>
        <v/>
      </c>
      <c r="Q60" s="2" t="str">
        <f ca="1"/>
        <v/>
      </c>
      <c r="R60" s="2" t="str">
        <f ca="1"/>
        <v/>
      </c>
      <c r="S60" s="9" t="str">
        <f ca="1"/>
        <v/>
      </c>
      <c r="T60" t="s">
        <v>206</v>
      </c>
      <c r="U60" t="str" cm="1">
        <f t="array" aca="1" ref="U60" ca="1">B60&amp;" = "&amp;D60&amp;"("&amp;_xlfn.TEXTJOIN(", ",TRUE,_xlfn.TEXTJOIN(", ",TRUE,E60:G60),_xlfn.TEXTJOIN(", ",TRUE,IF(H60:S60="","",H$2:S$2&amp;"="&amp;H60:S60)))&amp;")"</f>
        <v>label = models.CharField(max_length=5, blank=True, default='', null=False)</v>
      </c>
      <c r="V60" t="s">
        <v>206</v>
      </c>
    </row>
    <row r="61" spans="1:39">
      <c r="A61" s="5" t="s">
        <v>44</v>
      </c>
      <c r="B61" s="5" t="s">
        <v>45</v>
      </c>
      <c r="C61" s="6" t="s">
        <v>267</v>
      </c>
      <c r="D61" s="6" t="str">
        <f t="array" ref="D61:S61" ca="1">IF(ISBLANK(VLOOKUP(C61,$W$3:$AM$105,COLUMN(OFFSET($B$1,0,0,1,16)),FALSE)),"",VLOOKUP(C61,$W$3:$AM$105,COLUMN(OFFSET($B$1,0,0,1,16)),FALSE))</f>
        <v>models.CharField</v>
      </c>
      <c r="E61" s="8" t="str">
        <f ca="1"/>
        <v/>
      </c>
      <c r="F61" s="2" t="str">
        <f ca="1"/>
        <v/>
      </c>
      <c r="G61" s="9" t="str">
        <f ca="1"/>
        <v/>
      </c>
      <c r="H61" s="11" t="str">
        <f ca="1"/>
        <v/>
      </c>
      <c r="I61" s="2" t="str">
        <f ca="1"/>
        <v/>
      </c>
      <c r="J61" s="2">
        <f ca="1"/>
        <v>30</v>
      </c>
      <c r="K61" s="2" t="str">
        <f ca="1"/>
        <v>True</v>
      </c>
      <c r="L61" s="2" t="str">
        <f ca="1"/>
        <v>''</v>
      </c>
      <c r="M61" s="2" t="str">
        <f ca="1"/>
        <v>False</v>
      </c>
      <c r="N61" s="2" t="str">
        <f ca="1"/>
        <v/>
      </c>
      <c r="O61" s="2" t="str">
        <f ca="1"/>
        <v/>
      </c>
      <c r="P61" s="2" t="str">
        <f ca="1"/>
        <v/>
      </c>
      <c r="Q61" s="2" t="str">
        <f ca="1"/>
        <v/>
      </c>
      <c r="R61" s="2" t="str">
        <f ca="1"/>
        <v/>
      </c>
      <c r="S61" s="9" t="str">
        <f ca="1"/>
        <v/>
      </c>
      <c r="T61" t="s">
        <v>206</v>
      </c>
      <c r="U61" t="str" cm="1">
        <f t="array" aca="1" ref="U61" ca="1">B61&amp;" = "&amp;D61&amp;"("&amp;_xlfn.TEXTJOIN(", ",TRUE,_xlfn.TEXTJOIN(", ",TRUE,E61:G61),_xlfn.TEXTJOIN(", ",TRUE,IF(H61:S61="","",H$2:S$2&amp;"="&amp;H61:S61)))&amp;")"</f>
        <v>name = models.CharField(max_length=30, blank=True, default='', null=False)</v>
      </c>
      <c r="V61" t="s">
        <v>206</v>
      </c>
    </row>
    <row r="62" spans="1:39">
      <c r="B62" s="5" t="s">
        <v>47</v>
      </c>
      <c r="C62" s="6" t="s">
        <v>213</v>
      </c>
      <c r="D62" s="6" t="str">
        <f t="array" ref="D62:S62" ca="1">IF(ISBLANK(VLOOKUP(C62,$W$3:$AM$105,COLUMN(OFFSET($B$1,0,0,1,16)),FALSE)),"",VLOOKUP(C62,$W$3:$AM$105,COLUMN(OFFSET($B$1,0,0,1,16)),FALSE))</f>
        <v>models.CharField</v>
      </c>
      <c r="E62" s="8" t="str">
        <f ca="1"/>
        <v/>
      </c>
      <c r="F62" s="2" t="str">
        <f ca="1"/>
        <v/>
      </c>
      <c r="G62" s="9" t="str">
        <f ca="1"/>
        <v/>
      </c>
      <c r="H62" s="11" t="str">
        <f ca="1"/>
        <v/>
      </c>
      <c r="I62" s="2" t="str">
        <f ca="1"/>
        <v/>
      </c>
      <c r="J62" s="2">
        <f ca="1"/>
        <v>100</v>
      </c>
      <c r="K62" s="2" t="str">
        <f ca="1"/>
        <v>True</v>
      </c>
      <c r="L62" s="2" t="str">
        <f ca="1"/>
        <v>''</v>
      </c>
      <c r="M62" s="2" t="str">
        <f ca="1"/>
        <v>False</v>
      </c>
      <c r="N62" s="2" t="str">
        <f ca="1"/>
        <v/>
      </c>
      <c r="O62" s="2" t="str">
        <f ca="1"/>
        <v/>
      </c>
      <c r="P62" s="2" t="str">
        <f ca="1"/>
        <v/>
      </c>
      <c r="Q62" s="2" t="str">
        <f ca="1"/>
        <v/>
      </c>
      <c r="R62" s="2" t="str">
        <f ca="1"/>
        <v/>
      </c>
      <c r="S62" s="9" t="str">
        <f ca="1"/>
        <v/>
      </c>
      <c r="T62" t="s">
        <v>206</v>
      </c>
      <c r="U62" t="str" cm="1">
        <f t="array" aca="1" ref="U62" ca="1">B62&amp;" = "&amp;D62&amp;"("&amp;_xlfn.TEXTJOIN(", ",TRUE,_xlfn.TEXTJOIN(", ",TRUE,E62:G62),_xlfn.TEXTJOIN(", ",TRUE,IF(H62:S62="","",H$2:S$2&amp;"="&amp;H62:S62)))&amp;")"</f>
        <v>description = models.CharField(max_length=100, blank=True, default='', null=False)</v>
      </c>
      <c r="V62" t="s">
        <v>206</v>
      </c>
    </row>
    <row r="63" spans="1:39">
      <c r="B63" s="5" t="s">
        <v>49</v>
      </c>
      <c r="C63" s="6" t="s">
        <v>213</v>
      </c>
      <c r="D63" s="6" t="str">
        <f t="array" ref="D63:S63" ca="1">IF(ISBLANK(VLOOKUP(C63,$W$3:$AM$105,COLUMN(OFFSET($B$1,0,0,1,16)),FALSE)),"",VLOOKUP(C63,$W$3:$AM$105,COLUMN(OFFSET($B$1,0,0,1,16)),FALSE))</f>
        <v>models.CharField</v>
      </c>
      <c r="E63" s="8" t="str">
        <f ca="1"/>
        <v/>
      </c>
      <c r="F63" s="2" t="str">
        <f ca="1"/>
        <v/>
      </c>
      <c r="G63" s="9" t="str">
        <f ca="1"/>
        <v/>
      </c>
      <c r="H63" s="11" t="str">
        <f ca="1"/>
        <v/>
      </c>
      <c r="I63" s="2" t="str">
        <f ca="1"/>
        <v/>
      </c>
      <c r="J63" s="2">
        <f ca="1"/>
        <v>100</v>
      </c>
      <c r="K63" s="2" t="str">
        <f ca="1"/>
        <v>True</v>
      </c>
      <c r="L63" s="2" t="str">
        <f ca="1"/>
        <v>''</v>
      </c>
      <c r="M63" s="2" t="str">
        <f ca="1"/>
        <v>False</v>
      </c>
      <c r="N63" s="2" t="str">
        <f ca="1"/>
        <v/>
      </c>
      <c r="O63" s="2" t="str">
        <f ca="1"/>
        <v/>
      </c>
      <c r="P63" s="2" t="str">
        <f ca="1"/>
        <v/>
      </c>
      <c r="Q63" s="2" t="str">
        <f ca="1"/>
        <v/>
      </c>
      <c r="R63" s="2" t="str">
        <f ca="1"/>
        <v/>
      </c>
      <c r="S63" s="9" t="str">
        <f ca="1"/>
        <v/>
      </c>
      <c r="T63" t="s">
        <v>206</v>
      </c>
      <c r="U63" t="str" cm="1">
        <f t="array" aca="1" ref="U63" ca="1">B63&amp;" = "&amp;D63&amp;"("&amp;_xlfn.TEXTJOIN(", ",TRUE,_xlfn.TEXTJOIN(", ",TRUE,E63:G63),_xlfn.TEXTJOIN(", ",TRUE,IF(H63:S63="","",H$2:S$2&amp;"="&amp;H63:S63)))&amp;")"</f>
        <v>website = models.CharField(max_length=100, blank=True, default='', null=False)</v>
      </c>
      <c r="V63" t="s">
        <v>206</v>
      </c>
    </row>
    <row r="64" spans="1:39">
      <c r="B64" s="5" t="s">
        <v>51</v>
      </c>
      <c r="C64" s="6" t="s">
        <v>14</v>
      </c>
      <c r="D64" s="6" t="str">
        <f t="array" ref="D64:S64" ca="1">IF(ISBLANK(VLOOKUP(C64,$W$3:$AM$105,COLUMN(OFFSET($B$1,0,0,1,16)),FALSE)),"",VLOOKUP(C64,$W$3:$AM$105,COLUMN(OFFSET($B$1,0,0,1,16)),FALSE))</f>
        <v>PhoneNumberField</v>
      </c>
      <c r="E64" s="8" t="str">
        <f ca="1"/>
        <v/>
      </c>
      <c r="F64" s="2" t="str">
        <f ca="1"/>
        <v/>
      </c>
      <c r="G64" s="9" t="str">
        <f ca="1"/>
        <v/>
      </c>
      <c r="H64" s="11" t="str">
        <f ca="1"/>
        <v/>
      </c>
      <c r="I64" s="2" t="str">
        <f ca="1"/>
        <v/>
      </c>
      <c r="J64" s="2" t="str">
        <f ca="1"/>
        <v/>
      </c>
      <c r="K64" s="2" t="str">
        <f ca="1"/>
        <v>True</v>
      </c>
      <c r="L64" s="2" t="str">
        <f ca="1"/>
        <v/>
      </c>
      <c r="M64" s="2" t="str">
        <f ca="1"/>
        <v/>
      </c>
      <c r="N64" s="2" t="str">
        <f ca="1"/>
        <v/>
      </c>
      <c r="O64" s="2" t="str">
        <f ca="1"/>
        <v/>
      </c>
      <c r="P64" s="2" t="str">
        <f ca="1"/>
        <v/>
      </c>
      <c r="Q64" s="2" t="str">
        <f ca="1"/>
        <v/>
      </c>
      <c r="R64" s="2" t="str">
        <f ca="1"/>
        <v/>
      </c>
      <c r="S64" s="9" t="str">
        <f ca="1"/>
        <v>'US'</v>
      </c>
      <c r="T64" t="s">
        <v>206</v>
      </c>
      <c r="U64" t="str" cm="1">
        <f t="array" aca="1" ref="U64" ca="1">B64&amp;" = "&amp;D64&amp;"("&amp;_xlfn.TEXTJOIN(", ",TRUE,_xlfn.TEXTJOIN(", ",TRUE,E64:G64),_xlfn.TEXTJOIN(", ",TRUE,IF(H64:S64="","",H$2:S$2&amp;"="&amp;H64:S64)))&amp;")"</f>
        <v>contact_phone = PhoneNumberField(blank=True, region='US')</v>
      </c>
      <c r="V64" t="s">
        <v>206</v>
      </c>
    </row>
    <row r="65" spans="1:22">
      <c r="B65" s="5" t="s">
        <v>52</v>
      </c>
      <c r="C65" s="6" t="s">
        <v>213</v>
      </c>
      <c r="D65" s="6" t="str">
        <f t="array" ref="D65:S65" ca="1">IF(ISBLANK(VLOOKUP(C65,$W$3:$AM$105,COLUMN(OFFSET($B$1,0,0,1,16)),FALSE)),"",VLOOKUP(C65,$W$3:$AM$105,COLUMN(OFFSET($B$1,0,0,1,16)),FALSE))</f>
        <v>models.CharField</v>
      </c>
      <c r="E65" s="8" t="str">
        <f ca="1"/>
        <v/>
      </c>
      <c r="F65" s="2" t="str">
        <f ca="1"/>
        <v/>
      </c>
      <c r="G65" s="9" t="str">
        <f ca="1"/>
        <v/>
      </c>
      <c r="H65" s="11" t="str">
        <f ca="1"/>
        <v/>
      </c>
      <c r="I65" s="2" t="str">
        <f ca="1"/>
        <v/>
      </c>
      <c r="J65" s="2">
        <f ca="1"/>
        <v>100</v>
      </c>
      <c r="K65" s="2" t="str">
        <f ca="1"/>
        <v>True</v>
      </c>
      <c r="L65" s="2" t="str">
        <f ca="1"/>
        <v>''</v>
      </c>
      <c r="M65" s="2" t="str">
        <f ca="1"/>
        <v>False</v>
      </c>
      <c r="N65" s="2" t="str">
        <f ca="1"/>
        <v/>
      </c>
      <c r="O65" s="2" t="str">
        <f ca="1"/>
        <v/>
      </c>
      <c r="P65" s="2" t="str">
        <f ca="1"/>
        <v/>
      </c>
      <c r="Q65" s="2" t="str">
        <f ca="1"/>
        <v/>
      </c>
      <c r="R65" s="2" t="str">
        <f ca="1"/>
        <v/>
      </c>
      <c r="S65" s="9" t="str">
        <f ca="1"/>
        <v/>
      </c>
      <c r="T65" t="s">
        <v>206</v>
      </c>
      <c r="U65" t="str" cm="1">
        <f t="array" aca="1" ref="U65" ca="1">B65&amp;" = "&amp;D65&amp;"("&amp;_xlfn.TEXTJOIN(", ",TRUE,_xlfn.TEXTJOIN(", ",TRUE,E65:G65),_xlfn.TEXTJOIN(", ",TRUE,IF(H65:S65="","",H$2:S$2&amp;"="&amp;H65:S65)))&amp;")"</f>
        <v>contact_email = models.CharField(max_length=100, blank=True, default='', null=False)</v>
      </c>
      <c r="V65" t="s">
        <v>206</v>
      </c>
    </row>
    <row r="66" spans="1:22">
      <c r="A66" s="5" t="s">
        <v>54</v>
      </c>
      <c r="B66" s="5" t="s">
        <v>57</v>
      </c>
      <c r="C66" s="6" t="s">
        <v>245</v>
      </c>
      <c r="D66" s="6" t="str">
        <f t="array" ref="D66:S66" ca="1">IF(ISBLANK(VLOOKUP(C66,$W$3:$AM$105,COLUMN(OFFSET($B$1,0,0,1,16)),FALSE)),"",VLOOKUP(C66,$W$3:$AM$105,COLUMN(OFFSET($B$1,0,0,1,16)),FALSE))</f>
        <v>models.ForeignKey</v>
      </c>
      <c r="E66" s="8" t="str">
        <f ca="1"/>
        <v>Liquidator</v>
      </c>
      <c r="F66" s="2" t="str">
        <f ca="1"/>
        <v/>
      </c>
      <c r="G66" s="9" t="str">
        <f ca="1"/>
        <v/>
      </c>
      <c r="H66" s="11" t="str">
        <f ca="1"/>
        <v>models.SET_NULL</v>
      </c>
      <c r="I66" s="2" t="str">
        <f ca="1"/>
        <v/>
      </c>
      <c r="J66" s="2" t="str">
        <f ca="1"/>
        <v/>
      </c>
      <c r="K66" s="2" t="str">
        <f ca="1"/>
        <v>True</v>
      </c>
      <c r="L66" s="2" t="str">
        <f ca="1"/>
        <v>None</v>
      </c>
      <c r="M66" s="2" t="str">
        <f ca="1"/>
        <v>True</v>
      </c>
      <c r="N66" s="2" t="str">
        <f ca="1"/>
        <v/>
      </c>
      <c r="O66" s="2" t="str">
        <f ca="1"/>
        <v/>
      </c>
      <c r="P66" s="2" t="str">
        <f ca="1"/>
        <v/>
      </c>
      <c r="Q66" s="2" t="str">
        <f ca="1"/>
        <v/>
      </c>
      <c r="R66" s="2" t="str">
        <f ca="1"/>
        <v/>
      </c>
      <c r="S66" s="9" t="str">
        <f ca="1"/>
        <v/>
      </c>
      <c r="T66" t="s">
        <v>206</v>
      </c>
      <c r="U66" t="str" cm="1">
        <f t="array" aca="1" ref="U66" ca="1">B66&amp;" = "&amp;D66&amp;"("&amp;_xlfn.TEXTJOIN(", ",TRUE,_xlfn.TEXTJOIN(", ",TRUE,E66:G66),_xlfn.TEXTJOIN(", ",TRUE,IF(H66:S66="","",H$2:S$2&amp;"="&amp;H66:S66)))&amp;")"</f>
        <v>liquidator = models.ForeignKey(Liquidator, on_delete=models.SET_NULL, blank=True, default=None, null=True)</v>
      </c>
      <c r="V66" t="s">
        <v>206</v>
      </c>
    </row>
    <row r="67" spans="1:22">
      <c r="B67" s="5" t="s">
        <v>67</v>
      </c>
      <c r="C67" s="6" t="s">
        <v>246</v>
      </c>
      <c r="D67" s="6" t="str">
        <f t="array" ref="D67:S67" ca="1">IF(ISBLANK(VLOOKUP(C67,$W$3:$AM$105,COLUMN(OFFSET($B$1,0,0,1,16)),FALSE)),"",VLOOKUP(C67,$W$3:$AM$105,COLUMN(OFFSET($B$1,0,0,1,16)),FALSE))</f>
        <v>models.ForeignKey</v>
      </c>
      <c r="E67" s="8" t="str">
        <f ca="1"/>
        <v>Employee</v>
      </c>
      <c r="F67" s="2" t="str">
        <f ca="1"/>
        <v/>
      </c>
      <c r="G67" s="9" t="str">
        <f ca="1"/>
        <v/>
      </c>
      <c r="H67" s="11" t="str">
        <f ca="1"/>
        <v>models.SET_NULL</v>
      </c>
      <c r="I67" s="2" t="str">
        <f ca="1"/>
        <v/>
      </c>
      <c r="J67" s="2" t="str">
        <f ca="1"/>
        <v/>
      </c>
      <c r="K67" s="2" t="str">
        <f ca="1"/>
        <v>True</v>
      </c>
      <c r="L67" s="2" t="str">
        <f ca="1"/>
        <v>None</v>
      </c>
      <c r="M67" s="2" t="str">
        <f ca="1"/>
        <v>True</v>
      </c>
      <c r="N67" s="2" t="str">
        <f ca="1"/>
        <v/>
      </c>
      <c r="O67" s="2" t="str">
        <f ca="1"/>
        <v/>
      </c>
      <c r="P67" s="2" t="str">
        <f ca="1"/>
        <v/>
      </c>
      <c r="Q67" s="2" t="str">
        <f ca="1"/>
        <v/>
      </c>
      <c r="R67" s="2" t="str">
        <f ca="1"/>
        <v>'accepted_orders'</v>
      </c>
      <c r="S67" s="9" t="str">
        <f ca="1"/>
        <v/>
      </c>
      <c r="T67" t="s">
        <v>206</v>
      </c>
      <c r="U67" t="str" cm="1">
        <f t="array" aca="1" ref="U67" ca="1">B67&amp;" = "&amp;D67&amp;"("&amp;_xlfn.TEXTJOIN(", ",TRUE,_xlfn.TEXTJOIN(", ",TRUE,E67:G67),_xlfn.TEXTJOIN(", ",TRUE,IF(H67:S67="","",H$2:S$2&amp;"="&amp;H67:S67)))&amp;")"</f>
        <v>accepted_by = models.ForeignKey(Employee, on_delete=models.SET_NULL, blank=True, default=None, null=True, related_name='accepted_orders')</v>
      </c>
      <c r="V67" t="s">
        <v>206</v>
      </c>
    </row>
    <row r="68" spans="1:22">
      <c r="B68" s="5" t="s">
        <v>68</v>
      </c>
      <c r="C68" s="6" t="s">
        <v>247</v>
      </c>
      <c r="D68" s="6" t="str">
        <f t="array" ref="D68:S68" ca="1">IF(ISBLANK(VLOOKUP(C68,$W$3:$AM$105,COLUMN(OFFSET($B$1,0,0,1,16)),FALSE)),"",VLOOKUP(C68,$W$3:$AM$105,COLUMN(OFFSET($B$1,0,0,1,16)),FALSE))</f>
        <v>models.ForeignKey</v>
      </c>
      <c r="E68" s="8" t="str">
        <f ca="1"/>
        <v>Employee</v>
      </c>
      <c r="F68" s="2" t="str">
        <f ca="1"/>
        <v/>
      </c>
      <c r="G68" s="9" t="str">
        <f ca="1"/>
        <v/>
      </c>
      <c r="H68" s="11" t="str">
        <f ca="1"/>
        <v>models.SET_NULL</v>
      </c>
      <c r="I68" s="2" t="str">
        <f ca="1"/>
        <v/>
      </c>
      <c r="J68" s="2" t="str">
        <f ca="1"/>
        <v/>
      </c>
      <c r="K68" s="2" t="str">
        <f ca="1"/>
        <v>True</v>
      </c>
      <c r="L68" s="2" t="str">
        <f ca="1"/>
        <v>None</v>
      </c>
      <c r="M68" s="2" t="str">
        <f ca="1"/>
        <v>True</v>
      </c>
      <c r="N68" s="2" t="str">
        <f ca="1"/>
        <v/>
      </c>
      <c r="O68" s="2" t="str">
        <f ca="1"/>
        <v/>
      </c>
      <c r="P68" s="2" t="str">
        <f ca="1"/>
        <v/>
      </c>
      <c r="Q68" s="2" t="str">
        <f ca="1"/>
        <v/>
      </c>
      <c r="R68" s="2" t="str">
        <f ca="1"/>
        <v>'unloaded_orders'</v>
      </c>
      <c r="S68" s="9" t="str">
        <f ca="1"/>
        <v/>
      </c>
      <c r="T68" t="s">
        <v>206</v>
      </c>
      <c r="U68" t="str" cm="1">
        <f t="array" aca="1" ref="U68" ca="1">B68&amp;" = "&amp;D68&amp;"("&amp;_xlfn.TEXTJOIN(", ",TRUE,_xlfn.TEXTJOIN(", ",TRUE,E68:G68),_xlfn.TEXTJOIN(", ",TRUE,IF(H68:S68="","",H$2:S$2&amp;"="&amp;H68:S68)))&amp;")"</f>
        <v>unloaded_by = models.ForeignKey(Employee, on_delete=models.SET_NULL, blank=True, default=None, null=True, related_name='unloaded_orders')</v>
      </c>
      <c r="V68" t="s">
        <v>206</v>
      </c>
    </row>
    <row r="69" spans="1:22">
      <c r="B69" s="5" t="s">
        <v>55</v>
      </c>
      <c r="C69" s="6" t="s">
        <v>267</v>
      </c>
      <c r="D69" s="6" t="str">
        <f t="array" ref="D69:S69" ca="1">IF(ISBLANK(VLOOKUP(C69,$W$3:$AM$105,COLUMN(OFFSET($B$1,0,0,1,16)),FALSE)),"",VLOOKUP(C69,$W$3:$AM$105,COLUMN(OFFSET($B$1,0,0,1,16)),FALSE))</f>
        <v>models.CharField</v>
      </c>
      <c r="E69" s="8" t="str">
        <f ca="1"/>
        <v/>
      </c>
      <c r="F69" s="2" t="str">
        <f ca="1"/>
        <v/>
      </c>
      <c r="G69" s="9" t="str">
        <f ca="1"/>
        <v/>
      </c>
      <c r="H69" s="11" t="str">
        <f ca="1"/>
        <v/>
      </c>
      <c r="I69" s="2" t="str">
        <f ca="1"/>
        <v/>
      </c>
      <c r="J69" s="2">
        <f ca="1"/>
        <v>30</v>
      </c>
      <c r="K69" s="2" t="str">
        <f ca="1"/>
        <v>True</v>
      </c>
      <c r="L69" s="2" t="str">
        <f ca="1"/>
        <v>''</v>
      </c>
      <c r="M69" s="2" t="str">
        <f ca="1"/>
        <v>False</v>
      </c>
      <c r="N69" s="2" t="str">
        <f ca="1"/>
        <v/>
      </c>
      <c r="O69" s="2" t="str">
        <f ca="1"/>
        <v/>
      </c>
      <c r="P69" s="2" t="str">
        <f ca="1"/>
        <v/>
      </c>
      <c r="Q69" s="2" t="str">
        <f ca="1"/>
        <v/>
      </c>
      <c r="R69" s="2" t="str">
        <f ca="1"/>
        <v/>
      </c>
      <c r="S69" s="9" t="str">
        <f ca="1"/>
        <v/>
      </c>
      <c r="T69" t="s">
        <v>206</v>
      </c>
      <c r="U69" t="str" cm="1">
        <f t="array" aca="1" ref="U69" ca="1">B69&amp;" = "&amp;D69&amp;"("&amp;_xlfn.TEXTJOIN(", ",TRUE,_xlfn.TEXTJOIN(", ",TRUE,E69:G69),_xlfn.TEXTJOIN(", ",TRUE,IF(H69:S69="","",H$2:S$2&amp;"="&amp;H69:S69)))&amp;")"</f>
        <v>order_number = models.CharField(max_length=30, blank=True, default='', null=False)</v>
      </c>
      <c r="V69" t="s">
        <v>206</v>
      </c>
    </row>
    <row r="70" spans="1:22">
      <c r="B70" s="5" t="s">
        <v>58</v>
      </c>
      <c r="C70" s="6" t="s">
        <v>213</v>
      </c>
      <c r="D70" s="6" t="str">
        <f t="array" ref="D70:S70" ca="1">IF(ISBLANK(VLOOKUP(C70,$W$3:$AM$105,COLUMN(OFFSET($B$1,0,0,1,16)),FALSE)),"",VLOOKUP(C70,$W$3:$AM$105,COLUMN(OFFSET($B$1,0,0,1,16)),FALSE))</f>
        <v>models.CharField</v>
      </c>
      <c r="E70" s="8" t="str">
        <f ca="1"/>
        <v/>
      </c>
      <c r="F70" s="2" t="str">
        <f ca="1"/>
        <v/>
      </c>
      <c r="G70" s="9" t="str">
        <f ca="1"/>
        <v/>
      </c>
      <c r="H70" s="11" t="str">
        <f ca="1"/>
        <v/>
      </c>
      <c r="I70" s="2" t="str">
        <f ca="1"/>
        <v/>
      </c>
      <c r="J70" s="2">
        <f ca="1"/>
        <v>100</v>
      </c>
      <c r="K70" s="2" t="str">
        <f ca="1"/>
        <v>True</v>
      </c>
      <c r="L70" s="2" t="str">
        <f ca="1"/>
        <v>''</v>
      </c>
      <c r="M70" s="2" t="str">
        <f ca="1"/>
        <v>False</v>
      </c>
      <c r="N70" s="2" t="str">
        <f ca="1"/>
        <v/>
      </c>
      <c r="O70" s="2" t="str">
        <f ca="1"/>
        <v/>
      </c>
      <c r="P70" s="2" t="str">
        <f ca="1"/>
        <v/>
      </c>
      <c r="Q70" s="2" t="str">
        <f ca="1"/>
        <v/>
      </c>
      <c r="R70" s="2" t="str">
        <f ca="1"/>
        <v/>
      </c>
      <c r="S70" s="9" t="str">
        <f ca="1"/>
        <v/>
      </c>
      <c r="T70" t="s">
        <v>206</v>
      </c>
      <c r="U70" t="str" cm="1">
        <f t="array" aca="1" ref="U70" ca="1">B70&amp;" = "&amp;D70&amp;"("&amp;_xlfn.TEXTJOIN(", ",TRUE,_xlfn.TEXTJOIN(", ",TRUE,E70:G70),_xlfn.TEXTJOIN(", ",TRUE,IF(H70:S70="","",H$2:S$2&amp;"="&amp;H70:S70)))&amp;")"</f>
        <v>category = models.CharField(max_length=100, blank=True, default='', null=False)</v>
      </c>
      <c r="V70" t="s">
        <v>206</v>
      </c>
    </row>
    <row r="71" spans="1:22">
      <c r="B71" s="5" t="s">
        <v>60</v>
      </c>
      <c r="C71" s="6" t="s">
        <v>248</v>
      </c>
      <c r="D71" s="6" t="str">
        <f t="array" ref="D71:S71" ca="1">IF(ISBLANK(VLOOKUP(C71,$W$3:$AM$105,COLUMN(OFFSET($B$1,0,0,1,16)),FALSE)),"",VLOOKUP(C71,$W$3:$AM$105,COLUMN(OFFSET($B$1,0,0,1,16)),FALSE))</f>
        <v>models.IntegerField</v>
      </c>
      <c r="E71" s="8" t="str">
        <f ca="1"/>
        <v/>
      </c>
      <c r="F71" s="2" t="str">
        <f ca="1"/>
        <v/>
      </c>
      <c r="G71" s="9" t="str">
        <f ca="1"/>
        <v/>
      </c>
      <c r="H71" s="11" t="str">
        <f ca="1"/>
        <v/>
      </c>
      <c r="I71" s="2" t="str">
        <f ca="1"/>
        <v/>
      </c>
      <c r="J71" s="2" t="str">
        <f ca="1"/>
        <v/>
      </c>
      <c r="K71" s="2" t="str">
        <f ca="1"/>
        <v>True</v>
      </c>
      <c r="L71" s="2" t="str">
        <f ca="1"/>
        <v>0</v>
      </c>
      <c r="M71" s="2" t="str">
        <f ca="1"/>
        <v>False</v>
      </c>
      <c r="N71" s="2" t="str">
        <f ca="1"/>
        <v/>
      </c>
      <c r="O71" s="2" t="str">
        <f ca="1"/>
        <v/>
      </c>
      <c r="P71" s="2" t="str">
        <f ca="1"/>
        <v/>
      </c>
      <c r="Q71" s="2" t="str">
        <f ca="1"/>
        <v/>
      </c>
      <c r="R71" s="2" t="str">
        <f ca="1"/>
        <v/>
      </c>
      <c r="S71" s="9" t="str">
        <f ca="1"/>
        <v/>
      </c>
      <c r="T71" t="s">
        <v>206</v>
      </c>
      <c r="U71" t="str" cm="1">
        <f t="array" aca="1" ref="U71" ca="1">B71&amp;" = "&amp;D71&amp;"("&amp;_xlfn.TEXTJOIN(", ",TRUE,_xlfn.TEXTJOIN(", ",TRUE,E71:G71),_xlfn.TEXTJOIN(", ",TRUE,IF(H71:S71="","",H$2:S$2&amp;"="&amp;H71:S71)))&amp;")"</f>
        <v>item_count = models.IntegerField(blank=True, default=0, null=False)</v>
      </c>
      <c r="V71" t="s">
        <v>206</v>
      </c>
    </row>
    <row r="72" spans="1:22">
      <c r="B72" s="5" t="s">
        <v>62</v>
      </c>
      <c r="C72" s="6" t="s">
        <v>248</v>
      </c>
      <c r="D72" s="6" t="str">
        <f t="array" ref="D72:S72" ca="1">IF(ISBLANK(VLOOKUP(C72,$W$3:$AM$105,COLUMN(OFFSET($B$1,0,0,1,16)),FALSE)),"",VLOOKUP(C72,$W$3:$AM$105,COLUMN(OFFSET($B$1,0,0,1,16)),FALSE))</f>
        <v>models.IntegerField</v>
      </c>
      <c r="E72" s="8" t="str">
        <f ca="1"/>
        <v/>
      </c>
      <c r="F72" s="2" t="str">
        <f ca="1"/>
        <v/>
      </c>
      <c r="G72" s="9" t="str">
        <f ca="1"/>
        <v/>
      </c>
      <c r="H72" s="11" t="str">
        <f ca="1"/>
        <v/>
      </c>
      <c r="I72" s="2" t="str">
        <f ca="1"/>
        <v/>
      </c>
      <c r="J72" s="2" t="str">
        <f ca="1"/>
        <v/>
      </c>
      <c r="K72" s="2" t="str">
        <f ca="1"/>
        <v>True</v>
      </c>
      <c r="L72" s="2" t="str">
        <f ca="1"/>
        <v>0</v>
      </c>
      <c r="M72" s="2" t="str">
        <f ca="1"/>
        <v>False</v>
      </c>
      <c r="N72" s="2" t="str">
        <f ca="1"/>
        <v/>
      </c>
      <c r="O72" s="2" t="str">
        <f ca="1"/>
        <v/>
      </c>
      <c r="P72" s="2" t="str">
        <f ca="1"/>
        <v/>
      </c>
      <c r="Q72" s="2" t="str">
        <f ca="1"/>
        <v/>
      </c>
      <c r="R72" s="2" t="str">
        <f ca="1"/>
        <v/>
      </c>
      <c r="S72" s="9" t="str">
        <f ca="1"/>
        <v/>
      </c>
      <c r="T72" t="s">
        <v>206</v>
      </c>
      <c r="U72" t="str" cm="1">
        <f t="array" aca="1" ref="U72" ca="1">B72&amp;" = "&amp;D72&amp;"("&amp;_xlfn.TEXTJOIN(", ",TRUE,_xlfn.TEXTJOIN(", ",TRUE,E72:G72),_xlfn.TEXTJOIN(", ",TRUE,IF(H72:S72="","",H$2:S$2&amp;"="&amp;H72:S72)))&amp;")"</f>
        <v>pallet_count = models.IntegerField(blank=True, default=0, null=False)</v>
      </c>
      <c r="V72" t="s">
        <v>206</v>
      </c>
    </row>
    <row r="73" spans="1:22">
      <c r="B73" s="5" t="s">
        <v>64</v>
      </c>
      <c r="C73" s="6" t="s">
        <v>208</v>
      </c>
      <c r="D73" s="6" t="str">
        <f t="array" ref="D73:S73" ca="1">IF(ISBLANK(VLOOKUP(C73,$W$3:$AM$105,COLUMN(OFFSET($B$1,0,0,1,16)),FALSE)),"",VLOOKUP(C73,$W$3:$AM$105,COLUMN(OFFSET($B$1,0,0,1,16)),FALSE))</f>
        <v>models.DecimalField</v>
      </c>
      <c r="E73" s="8" t="str">
        <f ca="1"/>
        <v/>
      </c>
      <c r="F73" s="2" t="str">
        <f ca="1"/>
        <v/>
      </c>
      <c r="G73" s="9" t="str">
        <f ca="1"/>
        <v/>
      </c>
      <c r="H73" s="11" t="str">
        <f ca="1"/>
        <v/>
      </c>
      <c r="I73" s="2" t="str">
        <f ca="1"/>
        <v/>
      </c>
      <c r="J73" s="2" t="str">
        <f ca="1"/>
        <v/>
      </c>
      <c r="K73" s="2" t="str">
        <f ca="1"/>
        <v>True</v>
      </c>
      <c r="L73" s="2" t="str">
        <f ca="1"/>
        <v>None</v>
      </c>
      <c r="M73" s="2" t="str">
        <f ca="1"/>
        <v>True</v>
      </c>
      <c r="N73" s="2" t="str">
        <f ca="1"/>
        <v/>
      </c>
      <c r="O73" s="2">
        <f ca="1"/>
        <v>8</v>
      </c>
      <c r="P73" s="2">
        <f ca="1"/>
        <v>2</v>
      </c>
      <c r="Q73" s="2" t="str">
        <f ca="1"/>
        <v/>
      </c>
      <c r="R73" s="2" t="str">
        <f ca="1"/>
        <v/>
      </c>
      <c r="S73" s="9" t="str">
        <f ca="1"/>
        <v/>
      </c>
      <c r="T73" t="s">
        <v>206</v>
      </c>
      <c r="U73" t="str" cm="1">
        <f t="array" aca="1" ref="U73" ca="1">B73&amp;" = "&amp;D73&amp;"("&amp;_xlfn.TEXTJOIN(", ",TRUE,_xlfn.TEXTJOIN(", ",TRUE,E73:G73),_xlfn.TEXTJOIN(", ",TRUE,IF(H73:S73="","",H$2:S$2&amp;"="&amp;H73:S73)))&amp;")"</f>
        <v>sale_amount = models.DecimalField(blank=True, default=None, null=True, max_digits=8, decimal_places=2)</v>
      </c>
      <c r="V73" t="s">
        <v>206</v>
      </c>
    </row>
    <row r="74" spans="1:22">
      <c r="B74" s="5" t="s">
        <v>65</v>
      </c>
      <c r="C74" s="6" t="s">
        <v>208</v>
      </c>
      <c r="D74" s="6" t="str">
        <f t="array" ref="D74:S74" ca="1">IF(ISBLANK(VLOOKUP(C74,$W$3:$AM$105,COLUMN(OFFSET($B$1,0,0,1,16)),FALSE)),"",VLOOKUP(C74,$W$3:$AM$105,COLUMN(OFFSET($B$1,0,0,1,16)),FALSE))</f>
        <v>models.DecimalField</v>
      </c>
      <c r="E74" s="8" t="str">
        <f ca="1"/>
        <v/>
      </c>
      <c r="F74" s="2" t="str">
        <f ca="1"/>
        <v/>
      </c>
      <c r="G74" s="9" t="str">
        <f ca="1"/>
        <v/>
      </c>
      <c r="H74" s="11" t="str">
        <f ca="1"/>
        <v/>
      </c>
      <c r="I74" s="2" t="str">
        <f ca="1"/>
        <v/>
      </c>
      <c r="J74" s="2" t="str">
        <f ca="1"/>
        <v/>
      </c>
      <c r="K74" s="2" t="str">
        <f ca="1"/>
        <v>True</v>
      </c>
      <c r="L74" s="2" t="str">
        <f ca="1"/>
        <v>None</v>
      </c>
      <c r="M74" s="2" t="str">
        <f ca="1"/>
        <v>True</v>
      </c>
      <c r="N74" s="2" t="str">
        <f ca="1"/>
        <v/>
      </c>
      <c r="O74" s="2">
        <f ca="1"/>
        <v>8</v>
      </c>
      <c r="P74" s="2">
        <f ca="1"/>
        <v>2</v>
      </c>
      <c r="Q74" s="2" t="str">
        <f ca="1"/>
        <v/>
      </c>
      <c r="R74" s="2" t="str">
        <f ca="1"/>
        <v/>
      </c>
      <c r="S74" s="9" t="str">
        <f ca="1"/>
        <v/>
      </c>
      <c r="T74" t="s">
        <v>206</v>
      </c>
      <c r="U74" t="str" cm="1">
        <f t="array" aca="1" ref="U74" ca="1">B74&amp;" = "&amp;D74&amp;"("&amp;_xlfn.TEXTJOIN(", ",TRUE,_xlfn.TEXTJOIN(", ",TRUE,E74:G74),_xlfn.TEXTJOIN(", ",TRUE,IF(H74:S74="","",H$2:S$2&amp;"="&amp;H74:S74)))&amp;")"</f>
        <v>shipping_amount = models.DecimalField(blank=True, default=None, null=True, max_digits=8, decimal_places=2)</v>
      </c>
      <c r="V74" t="s">
        <v>206</v>
      </c>
    </row>
    <row r="75" spans="1:22">
      <c r="B75" s="5" t="s">
        <v>56</v>
      </c>
      <c r="C75" s="6" t="s">
        <v>334</v>
      </c>
      <c r="D75" s="6" t="str">
        <f t="array" ref="D75:S75" ca="1">IF(ISBLANK(VLOOKUP(C75,$W$3:$AM$105,COLUMN(OFFSET($B$1,0,0,1,16)),FALSE)),"",VLOOKUP(C75,$W$3:$AM$105,COLUMN(OFFSET($B$1,0,0,1,16)),FALSE))</f>
        <v>models.DateField</v>
      </c>
      <c r="E75" s="8" t="str">
        <f ca="1"/>
        <v/>
      </c>
      <c r="F75" s="2" t="str">
        <f ca="1"/>
        <v/>
      </c>
      <c r="G75" s="9" t="str">
        <f ca="1"/>
        <v/>
      </c>
      <c r="H75" s="11" t="str">
        <f ca="1"/>
        <v/>
      </c>
      <c r="I75" s="2" t="str">
        <f ca="1"/>
        <v/>
      </c>
      <c r="J75" s="2" t="str">
        <f ca="1"/>
        <v/>
      </c>
      <c r="K75" s="2" t="str">
        <f ca="1"/>
        <v>True</v>
      </c>
      <c r="L75" s="2" t="str">
        <f ca="1"/>
        <v>date.today</v>
      </c>
      <c r="M75" s="2" t="str">
        <f ca="1"/>
        <v>False</v>
      </c>
      <c r="N75" s="2" t="str">
        <f ca="1"/>
        <v/>
      </c>
      <c r="O75" s="2" t="str">
        <f ca="1"/>
        <v/>
      </c>
      <c r="P75" s="2" t="str">
        <f ca="1"/>
        <v/>
      </c>
      <c r="Q75" s="2" t="str">
        <f ca="1"/>
        <v/>
      </c>
      <c r="R75" s="2" t="str">
        <f ca="1"/>
        <v/>
      </c>
      <c r="S75" s="9" t="str">
        <f ca="1"/>
        <v/>
      </c>
      <c r="T75" t="s">
        <v>206</v>
      </c>
      <c r="U75" t="str" cm="1">
        <f t="array" aca="1" ref="U75" ca="1">B75&amp;" = "&amp;D75&amp;"("&amp;_xlfn.TEXTJOIN(", ",TRUE,_xlfn.TEXTJOIN(", ",TRUE,E75:G75),_xlfn.TEXTJOIN(", ",TRUE,IF(H75:S75="","",H$2:S$2&amp;"="&amp;H75:S75)))&amp;")"</f>
        <v>purchase_date = models.DateField(blank=True, default=date.today, null=False)</v>
      </c>
      <c r="V75" t="s">
        <v>206</v>
      </c>
    </row>
    <row r="76" spans="1:22">
      <c r="B76" s="5" t="s">
        <v>66</v>
      </c>
      <c r="C76" s="6" t="s">
        <v>7</v>
      </c>
      <c r="D76" s="6" t="str">
        <f t="array" ref="D76:S76" ca="1">IF(ISBLANK(VLOOKUP(C76,$W$3:$AM$105,COLUMN(OFFSET($B$1,0,0,1,16)),FALSE)),"",VLOOKUP(C76,$W$3:$AM$105,COLUMN(OFFSET($B$1,0,0,1,16)),FALSE))</f>
        <v>models.DateField</v>
      </c>
      <c r="E76" s="8" t="str">
        <f ca="1"/>
        <v/>
      </c>
      <c r="F76" s="2" t="str">
        <f ca="1"/>
        <v/>
      </c>
      <c r="G76" s="9" t="str">
        <f ca="1"/>
        <v/>
      </c>
      <c r="H76" s="11" t="str">
        <f ca="1"/>
        <v/>
      </c>
      <c r="I76" s="2" t="str">
        <f ca="1"/>
        <v/>
      </c>
      <c r="J76" s="2" t="str">
        <f ca="1"/>
        <v/>
      </c>
      <c r="K76" s="2" t="str">
        <f ca="1"/>
        <v>True</v>
      </c>
      <c r="L76" s="2" t="str">
        <f ca="1"/>
        <v>None</v>
      </c>
      <c r="M76" s="2" t="str">
        <f ca="1"/>
        <v>True</v>
      </c>
      <c r="N76" s="2" t="str">
        <f ca="1"/>
        <v/>
      </c>
      <c r="O76" s="2" t="str">
        <f ca="1"/>
        <v/>
      </c>
      <c r="P76" s="2" t="str">
        <f ca="1"/>
        <v/>
      </c>
      <c r="Q76" s="2" t="str">
        <f ca="1"/>
        <v/>
      </c>
      <c r="R76" s="2" t="str">
        <f ca="1"/>
        <v/>
      </c>
      <c r="S76" s="9" t="str">
        <f ca="1"/>
        <v/>
      </c>
      <c r="T76" t="s">
        <v>206</v>
      </c>
      <c r="U76" t="str" cm="1">
        <f t="array" aca="1" ref="U76" ca="1">B76&amp;" = "&amp;D76&amp;"("&amp;_xlfn.TEXTJOIN(", ",TRUE,_xlfn.TEXTJOIN(", ",TRUE,E76:G76),_xlfn.TEXTJOIN(", ",TRUE,IF(H76:S76="","",H$2:S$2&amp;"="&amp;H76:S76)))&amp;")"</f>
        <v>delivery_date = models.DateField(blank=True, default=None, null=True)</v>
      </c>
      <c r="V76" t="s">
        <v>206</v>
      </c>
    </row>
    <row r="77" spans="1:22">
      <c r="B77" s="5" t="s">
        <v>69</v>
      </c>
      <c r="C77" s="6" t="s">
        <v>225</v>
      </c>
      <c r="D77" s="6" t="str">
        <f t="array" ref="D77:S77" ca="1">IF(ISBLANK(VLOOKUP(C77,$W$3:$AM$105,COLUMN(OFFSET($B$1,0,0,1,16)),FALSE)),"",VLOOKUP(C77,$W$3:$AM$105,COLUMN(OFFSET($B$1,0,0,1,16)),FALSE))</f>
        <v>models.ImageField</v>
      </c>
      <c r="E77" s="8" t="str">
        <f ca="1"/>
        <v/>
      </c>
      <c r="F77" s="2" t="str">
        <f ca="1"/>
        <v/>
      </c>
      <c r="G77" s="9" t="str">
        <f ca="1"/>
        <v/>
      </c>
      <c r="H77" s="11" t="str">
        <f ca="1"/>
        <v/>
      </c>
      <c r="I77" s="2" t="str">
        <f ca="1"/>
        <v/>
      </c>
      <c r="J77" s="2" t="str">
        <f ca="1"/>
        <v/>
      </c>
      <c r="K77" s="2" t="str">
        <f ca="1"/>
        <v>True</v>
      </c>
      <c r="L77" s="2" t="str">
        <f ca="1"/>
        <v>''</v>
      </c>
      <c r="M77" s="2" t="str">
        <f ca="1"/>
        <v>False</v>
      </c>
      <c r="N77" s="2" t="str">
        <f ca="1"/>
        <v>ORD_POD</v>
      </c>
      <c r="O77" s="2" t="str">
        <f ca="1"/>
        <v/>
      </c>
      <c r="P77" s="2" t="str">
        <f ca="1"/>
        <v/>
      </c>
      <c r="Q77" s="2" t="str">
        <f ca="1"/>
        <v/>
      </c>
      <c r="R77" s="2" t="str">
        <f ca="1"/>
        <v/>
      </c>
      <c r="S77" s="9" t="str">
        <f ca="1"/>
        <v/>
      </c>
      <c r="T77" t="s">
        <v>206</v>
      </c>
      <c r="U77" t="str" cm="1">
        <f t="array" aca="1" ref="U77" ca="1">B77&amp;" = "&amp;D77&amp;"("&amp;_xlfn.TEXTJOIN(", ",TRUE,_xlfn.TEXTJOIN(", ",TRUE,E77:G77),_xlfn.TEXTJOIN(", ",TRUE,IF(H77:S77="","",H$2:S$2&amp;"="&amp;H77:S77)))&amp;")"</f>
        <v>pod_image = models.ImageField(blank=True, default='', null=False, upload_to=ORD_POD)</v>
      </c>
      <c r="V77" t="s">
        <v>206</v>
      </c>
    </row>
    <row r="78" spans="1:22">
      <c r="B78" s="5" t="s">
        <v>71</v>
      </c>
      <c r="C78" s="6" t="s">
        <v>229</v>
      </c>
      <c r="D78" s="6" t="str">
        <f t="array" ref="D78:S78" ca="1">IF(ISBLANK(VLOOKUP(C78,$W$3:$AM$105,COLUMN(OFFSET($B$1,0,0,1,16)),FALSE)),"",VLOOKUP(C78,$W$3:$AM$105,COLUMN(OFFSET($B$1,0,0,1,16)),FALSE))</f>
        <v>models.FileField</v>
      </c>
      <c r="E78" s="8" t="str">
        <f ca="1"/>
        <v/>
      </c>
      <c r="F78" s="2" t="str">
        <f ca="1"/>
        <v/>
      </c>
      <c r="G78" s="9" t="str">
        <f ca="1"/>
        <v/>
      </c>
      <c r="H78" s="11" t="str">
        <f ca="1"/>
        <v/>
      </c>
      <c r="I78" s="2" t="str">
        <f ca="1"/>
        <v/>
      </c>
      <c r="J78" s="2" t="str">
        <f ca="1"/>
        <v/>
      </c>
      <c r="K78" s="2" t="str">
        <f ca="1"/>
        <v>True</v>
      </c>
      <c r="L78" s="2" t="str">
        <f ca="1"/>
        <v>None</v>
      </c>
      <c r="M78" s="2" t="str">
        <f ca="1"/>
        <v>True</v>
      </c>
      <c r="N78" s="2" t="str">
        <f ca="1"/>
        <v>ORD_MAN</v>
      </c>
      <c r="O78" s="2" t="str">
        <f ca="1"/>
        <v/>
      </c>
      <c r="P78" s="2" t="str">
        <f ca="1"/>
        <v/>
      </c>
      <c r="Q78" s="2" t="str">
        <f ca="1"/>
        <v/>
      </c>
      <c r="R78" s="2" t="str">
        <f ca="1"/>
        <v/>
      </c>
      <c r="S78" s="9" t="str">
        <f ca="1"/>
        <v/>
      </c>
      <c r="T78" t="s">
        <v>206</v>
      </c>
      <c r="U78" t="str" cm="1">
        <f t="array" aca="1" ref="U78" ca="1">B78&amp;" = "&amp;D78&amp;"("&amp;_xlfn.TEXTJOIN(", ",TRUE,_xlfn.TEXTJOIN(", ",TRUE,E78:G78),_xlfn.TEXTJOIN(", ",TRUE,IF(H78:S78="","",H$2:S$2&amp;"="&amp;H78:S78)))&amp;")"</f>
        <v>manifest_file = models.FileField(blank=True, default=None, null=True, upload_to=ORD_MAN)</v>
      </c>
    </row>
    <row r="79" spans="1:22">
      <c r="A79" s="5" t="s">
        <v>286</v>
      </c>
      <c r="B79" s="5" t="s">
        <v>102</v>
      </c>
      <c r="C79" s="6" t="s">
        <v>251</v>
      </c>
      <c r="D79" s="6" t="str">
        <f t="array" ref="D79:S79" ca="1">IF(ISBLANK(VLOOKUP(C79,$W$3:$AM$105,COLUMN(OFFSET($B$1,0,0,1,16)),FALSE)),"",VLOOKUP(C79,$W$3:$AM$105,COLUMN(OFFSET($B$1,0,0,1,16)),FALSE))</f>
        <v>models.ForeignKey</v>
      </c>
      <c r="E79" s="8" t="str">
        <f ca="1"/>
        <v>Order</v>
      </c>
      <c r="F79" s="2" t="str">
        <f ca="1"/>
        <v/>
      </c>
      <c r="G79" s="9" t="str">
        <f ca="1"/>
        <v/>
      </c>
      <c r="H79" s="11" t="str">
        <f ca="1"/>
        <v>models.SET_NULL</v>
      </c>
      <c r="I79" s="2" t="str">
        <f ca="1"/>
        <v/>
      </c>
      <c r="J79" s="2" t="str">
        <f ca="1"/>
        <v/>
      </c>
      <c r="K79" s="2" t="str">
        <f ca="1"/>
        <v>True</v>
      </c>
      <c r="L79" s="2" t="str">
        <f ca="1"/>
        <v>None</v>
      </c>
      <c r="M79" s="2" t="str">
        <f ca="1"/>
        <v>True</v>
      </c>
      <c r="N79" s="2" t="str">
        <f ca="1"/>
        <v/>
      </c>
      <c r="O79" s="2" t="str">
        <f ca="1"/>
        <v/>
      </c>
      <c r="P79" s="2" t="str">
        <f ca="1"/>
        <v/>
      </c>
      <c r="Q79" s="2" t="str">
        <f ca="1"/>
        <v/>
      </c>
      <c r="R79" s="2" t="str">
        <f ca="1"/>
        <v/>
      </c>
      <c r="S79" s="9" t="str">
        <f ca="1"/>
        <v/>
      </c>
      <c r="T79" t="s">
        <v>206</v>
      </c>
      <c r="U79" t="str" cm="1">
        <f t="array" aca="1" ref="U79" ca="1">B79&amp;" = "&amp;D79&amp;"("&amp;_xlfn.TEXTJOIN(", ",TRUE,_xlfn.TEXTJOIN(", ",TRUE,E79:G79),_xlfn.TEXTJOIN(", ",TRUE,IF(H79:S79="","",H$2:S$2&amp;"="&amp;H79:S79)))&amp;")"</f>
        <v>order = models.ForeignKey(Order, on_delete=models.SET_NULL, blank=True, default=None, null=True)</v>
      </c>
    </row>
    <row r="80" spans="1:22">
      <c r="B80" s="5" t="s">
        <v>21</v>
      </c>
      <c r="C80" s="6" t="s">
        <v>223</v>
      </c>
      <c r="D80" s="6" t="str">
        <f t="array" ref="D80:S80" ca="1">IF(ISBLANK(VLOOKUP(C80,$W$3:$AM$105,COLUMN(OFFSET($B$1,0,0,1,16)),FALSE)),"",VLOOKUP(C80,$W$3:$AM$105,COLUMN(OFFSET($B$1,0,0,1,16)),FALSE))</f>
        <v>models.ImageField</v>
      </c>
      <c r="E80" s="8" t="str">
        <f ca="1"/>
        <v/>
      </c>
      <c r="F80" s="2" t="str">
        <f ca="1"/>
        <v/>
      </c>
      <c r="G80" s="9" t="str">
        <f ca="1"/>
        <v/>
      </c>
      <c r="H80" s="11" t="str">
        <f ca="1"/>
        <v/>
      </c>
      <c r="I80" s="2" t="str">
        <f ca="1"/>
        <v/>
      </c>
      <c r="J80" s="2" t="str">
        <f ca="1"/>
        <v/>
      </c>
      <c r="K80" s="2" t="str">
        <f ca="1"/>
        <v>True</v>
      </c>
      <c r="L80" s="2" t="str">
        <f ca="1"/>
        <v>''</v>
      </c>
      <c r="M80" s="2" t="str">
        <f ca="1"/>
        <v>False</v>
      </c>
      <c r="N80" s="2" t="str">
        <f ca="1"/>
        <v>ORD_IMG</v>
      </c>
      <c r="O80" s="2" t="str">
        <f ca="1"/>
        <v/>
      </c>
      <c r="P80" s="2" t="str">
        <f ca="1"/>
        <v/>
      </c>
      <c r="Q80" s="2" t="str">
        <f ca="1"/>
        <v/>
      </c>
      <c r="R80" s="2" t="str">
        <f ca="1"/>
        <v/>
      </c>
      <c r="S80" s="9" t="str">
        <f ca="1"/>
        <v/>
      </c>
      <c r="T80" t="s">
        <v>206</v>
      </c>
      <c r="U80" t="str" cm="1">
        <f t="array" aca="1" ref="U80" ca="1">B80&amp;" = "&amp;D80&amp;"("&amp;_xlfn.TEXTJOIN(", ",TRUE,_xlfn.TEXTJOIN(", ",TRUE,E80:G80),_xlfn.TEXTJOIN(", ",TRUE,IF(H80:S80="","",H$2:S$2&amp;"="&amp;H80:S80)))&amp;")"</f>
        <v>image = models.ImageField(blank=True, default='', null=False, upload_to=ORD_IMG)</v>
      </c>
    </row>
    <row r="81" spans="1:22">
      <c r="A81" s="5" t="s">
        <v>85</v>
      </c>
      <c r="B81" s="5" t="s">
        <v>87</v>
      </c>
      <c r="C81" s="6" t="s">
        <v>258</v>
      </c>
      <c r="D81" s="6" t="str">
        <f t="array" ref="D81:S81" ca="1">IF(ISBLANK(VLOOKUP(C81,$W$3:$AM$105,COLUMN(OFFSET($B$1,0,0,1,16)),FALSE)),"",VLOOKUP(C81,$W$3:$AM$105,COLUMN(OFFSET($B$1,0,0,1,16)),FALSE))</f>
        <v>models.ForeignKey</v>
      </c>
      <c r="E81" s="8" t="str">
        <f ca="1"/>
        <v>Consignor</v>
      </c>
      <c r="F81" s="2" t="str">
        <f ca="1"/>
        <v/>
      </c>
      <c r="G81" s="9" t="str">
        <f ca="1"/>
        <v/>
      </c>
      <c r="H81" s="11" t="str">
        <f ca="1"/>
        <v>models.SET_NULL</v>
      </c>
      <c r="I81" s="2" t="str">
        <f ca="1"/>
        <v/>
      </c>
      <c r="J81" s="2" t="str">
        <f ca="1"/>
        <v/>
      </c>
      <c r="K81" s="2" t="str">
        <f ca="1"/>
        <v>True</v>
      </c>
      <c r="L81" s="2" t="str">
        <f ca="1"/>
        <v>None</v>
      </c>
      <c r="M81" s="2" t="str">
        <f ca="1"/>
        <v>True</v>
      </c>
      <c r="N81" s="2" t="str">
        <f ca="1"/>
        <v/>
      </c>
      <c r="O81" s="2" t="str">
        <f ca="1"/>
        <v/>
      </c>
      <c r="P81" s="2" t="str">
        <f ca="1"/>
        <v/>
      </c>
      <c r="Q81" s="2" t="str">
        <f ca="1"/>
        <v/>
      </c>
      <c r="R81" s="2" t="str">
        <f ca="1"/>
        <v/>
      </c>
      <c r="S81" s="9" t="str">
        <f ca="1"/>
        <v/>
      </c>
      <c r="T81" t="s">
        <v>206</v>
      </c>
      <c r="U81" t="str" cm="1">
        <f t="array" aca="1" ref="U81" ca="1">B81&amp;" = "&amp;D81&amp;"("&amp;_xlfn.TEXTJOIN(", ",TRUE,_xlfn.TEXTJOIN(", ",TRUE,E81:G81),_xlfn.TEXTJOIN(", ",TRUE,IF(H81:S81="","",H$2:S$2&amp;"="&amp;H81:S81)))&amp;")"</f>
        <v>consignor = models.ForeignKey(Consignor, on_delete=models.SET_NULL, blank=True, default=None, null=True)</v>
      </c>
    </row>
    <row r="82" spans="1:22">
      <c r="B82" s="5" t="s">
        <v>86</v>
      </c>
      <c r="C82" s="6" t="s">
        <v>405</v>
      </c>
      <c r="D82" s="6" t="str">
        <f t="array" ref="D82:S82" ca="1">IF(ISBLANK(VLOOKUP(C82,$W$3:$AM$105,COLUMN(OFFSET($B$1,0,0,1,16)),FALSE)),"",VLOOKUP(C82,$W$3:$AM$105,COLUMN(OFFSET($B$1,0,0,1,16)),FALSE))</f>
        <v>models.ForeignKey</v>
      </c>
      <c r="E82" s="8" t="str">
        <f ca="1"/>
        <v>Employee</v>
      </c>
      <c r="F82" s="2" t="str">
        <f ca="1"/>
        <v/>
      </c>
      <c r="G82" s="9" t="str">
        <f ca="1"/>
        <v/>
      </c>
      <c r="H82" s="11" t="str">
        <f ca="1"/>
        <v>models.SET_NULL</v>
      </c>
      <c r="I82" s="2" t="str">
        <f ca="1"/>
        <v/>
      </c>
      <c r="J82" s="2" t="str">
        <f ca="1"/>
        <v/>
      </c>
      <c r="K82" s="2" t="str">
        <f ca="1"/>
        <v>False</v>
      </c>
      <c r="L82" s="2" t="str">
        <f ca="1"/>
        <v>None</v>
      </c>
      <c r="M82" s="2" t="str">
        <f ca="1"/>
        <v>True</v>
      </c>
      <c r="N82" s="2" t="str">
        <f ca="1"/>
        <v/>
      </c>
      <c r="O82" s="2" t="str">
        <f ca="1"/>
        <v/>
      </c>
      <c r="P82" s="2" t="str">
        <f ca="1"/>
        <v/>
      </c>
      <c r="Q82" s="2" t="str">
        <f ca="1"/>
        <v/>
      </c>
      <c r="R82" s="2" t="str">
        <f ca="1"/>
        <v/>
      </c>
      <c r="S82" s="9" t="str">
        <f ca="1"/>
        <v/>
      </c>
      <c r="T82" t="s">
        <v>206</v>
      </c>
      <c r="U82" t="str" cm="1">
        <f t="array" aca="1" ref="U82" ca="1">B82&amp;" = "&amp;D82&amp;"("&amp;_xlfn.TEXTJOIN(", ",TRUE,_xlfn.TEXTJOIN(", ",TRUE,E82:G82),_xlfn.TEXTJOIN(", ",TRUE,IF(H82:S82="","",H$2:S$2&amp;"="&amp;H82:S82)))&amp;")"</f>
        <v>employee = models.ForeignKey(Employee, on_delete=models.SET_NULL, blank=False, default=None, null=True)</v>
      </c>
    </row>
    <row r="83" spans="1:22">
      <c r="B83" s="5" t="s">
        <v>7</v>
      </c>
      <c r="C83" s="6" t="s">
        <v>334</v>
      </c>
      <c r="D83" s="6" t="str">
        <f t="array" ref="D83:S83" ca="1">IF(ISBLANK(VLOOKUP(C83,$W$3:$AM$105,COLUMN(OFFSET($B$1,0,0,1,16)),FALSE)),"",VLOOKUP(C83,$W$3:$AM$105,COLUMN(OFFSET($B$1,0,0,1,16)),FALSE))</f>
        <v>models.DateField</v>
      </c>
      <c r="E83" s="8" t="str">
        <f ca="1"/>
        <v/>
      </c>
      <c r="F83" s="2" t="str">
        <f ca="1"/>
        <v/>
      </c>
      <c r="G83" s="9" t="str">
        <f ca="1"/>
        <v/>
      </c>
      <c r="H83" s="11" t="str">
        <f ca="1"/>
        <v/>
      </c>
      <c r="I83" s="2" t="str">
        <f ca="1"/>
        <v/>
      </c>
      <c r="J83" s="2" t="str">
        <f ca="1"/>
        <v/>
      </c>
      <c r="K83" s="2" t="str">
        <f ca="1"/>
        <v>True</v>
      </c>
      <c r="L83" s="2" t="str">
        <f ca="1"/>
        <v>date.today</v>
      </c>
      <c r="M83" s="2" t="str">
        <f ca="1"/>
        <v>False</v>
      </c>
      <c r="N83" s="2" t="str">
        <f ca="1"/>
        <v/>
      </c>
      <c r="O83" s="2" t="str">
        <f ca="1"/>
        <v/>
      </c>
      <c r="P83" s="2" t="str">
        <f ca="1"/>
        <v/>
      </c>
      <c r="Q83" s="2" t="str">
        <f ca="1"/>
        <v/>
      </c>
      <c r="R83" s="2" t="str">
        <f ca="1"/>
        <v/>
      </c>
      <c r="S83" s="9" t="str">
        <f ca="1"/>
        <v/>
      </c>
      <c r="T83" t="s">
        <v>206</v>
      </c>
      <c r="U83" t="str" cm="1">
        <f t="array" aca="1" ref="U83" ca="1">B83&amp;" = "&amp;D83&amp;"("&amp;_xlfn.TEXTJOIN(", ",TRUE,_xlfn.TEXTJOIN(", ",TRUE,E83:G83),_xlfn.TEXTJOIN(", ",TRUE,IF(H83:S83="","",H$2:S$2&amp;"="&amp;H83:S83)))&amp;")"</f>
        <v>date = models.DateField(blank=True, default=date.today, null=False)</v>
      </c>
    </row>
    <row r="84" spans="1:22">
      <c r="B84" s="5" t="s">
        <v>89</v>
      </c>
      <c r="C84" s="6" t="s">
        <v>213</v>
      </c>
      <c r="D84" s="6" t="str">
        <f t="array" ref="D84:S84" ca="1">IF(ISBLANK(VLOOKUP(C84,$W$3:$AM$105,COLUMN(OFFSET($B$1,0,0,1,16)),FALSE)),"",VLOOKUP(C84,$W$3:$AM$105,COLUMN(OFFSET($B$1,0,0,1,16)),FALSE))</f>
        <v>models.CharField</v>
      </c>
      <c r="E84" s="8" t="str">
        <f ca="1"/>
        <v/>
      </c>
      <c r="F84" s="2" t="str">
        <f ca="1"/>
        <v/>
      </c>
      <c r="G84" s="9" t="str">
        <f ca="1"/>
        <v/>
      </c>
      <c r="H84" s="11" t="str">
        <f ca="1"/>
        <v/>
      </c>
      <c r="I84" s="2" t="str">
        <f ca="1"/>
        <v/>
      </c>
      <c r="J84" s="2">
        <f ca="1"/>
        <v>100</v>
      </c>
      <c r="K84" s="2" t="str">
        <f ca="1"/>
        <v>True</v>
      </c>
      <c r="L84" s="2" t="str">
        <f ca="1"/>
        <v>''</v>
      </c>
      <c r="M84" s="2" t="str">
        <f ca="1"/>
        <v>False</v>
      </c>
      <c r="N84" s="2" t="str">
        <f ca="1"/>
        <v/>
      </c>
      <c r="O84" s="2" t="str">
        <f ca="1"/>
        <v/>
      </c>
      <c r="P84" s="2" t="str">
        <f ca="1"/>
        <v/>
      </c>
      <c r="Q84" s="2" t="str">
        <f ca="1"/>
        <v/>
      </c>
      <c r="R84" s="2" t="str">
        <f ca="1"/>
        <v/>
      </c>
      <c r="S84" s="9" t="str">
        <f ca="1"/>
        <v/>
      </c>
      <c r="T84" t="s">
        <v>206</v>
      </c>
      <c r="U84" t="str" cm="1">
        <f t="array" aca="1" ref="U84" ca="1">B84&amp;" = "&amp;D84&amp;"("&amp;_xlfn.TEXTJOIN(", ",TRUE,_xlfn.TEXTJOIN(", ",TRUE,E84:G84),_xlfn.TEXTJOIN(", ",TRUE,IF(H84:S84="","",H$2:S$2&amp;"="&amp;H84:S84)))&amp;")"</f>
        <v>comments = models.CharField(max_length=100, blank=True, default='', null=False)</v>
      </c>
    </row>
    <row r="85" spans="1:22">
      <c r="B85" s="5" t="s">
        <v>91</v>
      </c>
      <c r="C85" s="6" t="s">
        <v>226</v>
      </c>
      <c r="D85" s="6" t="str">
        <f t="array" ref="D85:S85" ca="1">IF(ISBLANK(VLOOKUP(C85,$W$3:$AM$105,COLUMN(OFFSET($B$1,0,0,1,16)),FALSE)),"",VLOOKUP(C85,$W$3:$AM$105,COLUMN(OFFSET($B$1,0,0,1,16)),FALSE))</f>
        <v>models.ImageField</v>
      </c>
      <c r="E85" s="8" t="str">
        <f ca="1"/>
        <v/>
      </c>
      <c r="F85" s="2" t="str">
        <f ca="1"/>
        <v/>
      </c>
      <c r="G85" s="9" t="str">
        <f ca="1"/>
        <v/>
      </c>
      <c r="H85" s="11" t="str">
        <f ca="1"/>
        <v/>
      </c>
      <c r="I85" s="2" t="str">
        <f ca="1"/>
        <v/>
      </c>
      <c r="J85" s="2" t="str">
        <f ca="1"/>
        <v/>
      </c>
      <c r="K85" s="2" t="str">
        <f ca="1"/>
        <v>True</v>
      </c>
      <c r="L85" s="2" t="str">
        <f ca="1"/>
        <v>''</v>
      </c>
      <c r="M85" s="2" t="str">
        <f ca="1"/>
        <v>False</v>
      </c>
      <c r="N85" s="2" t="str">
        <f ca="1"/>
        <v>DRP_AGR</v>
      </c>
      <c r="O85" s="2" t="str">
        <f ca="1"/>
        <v/>
      </c>
      <c r="P85" s="2" t="str">
        <f ca="1"/>
        <v/>
      </c>
      <c r="Q85" s="2" t="str">
        <f ca="1"/>
        <v/>
      </c>
      <c r="R85" s="2" t="str">
        <f ca="1"/>
        <v/>
      </c>
      <c r="S85" s="9" t="str">
        <f ca="1"/>
        <v/>
      </c>
      <c r="T85" t="s">
        <v>206</v>
      </c>
      <c r="U85" t="str" cm="1">
        <f t="array" aca="1" ref="U85" ca="1">B85&amp;" = "&amp;D85&amp;"("&amp;_xlfn.TEXTJOIN(", ",TRUE,_xlfn.TEXTJOIN(", ",TRUE,E85:G85),_xlfn.TEXTJOIN(", ",TRUE,IF(H85:S85="","",H$2:S$2&amp;"="&amp;H85:S85)))&amp;")"</f>
        <v>agreement_image = models.ImageField(blank=True, default='', null=False, upload_to=DRP_AGR)</v>
      </c>
    </row>
    <row r="86" spans="1:22">
      <c r="B86" s="5" t="s">
        <v>93</v>
      </c>
      <c r="C86" s="6" t="s">
        <v>208</v>
      </c>
      <c r="D86" s="6" t="str">
        <f t="array" ref="D86:S86" ca="1">IF(ISBLANK(VLOOKUP(C86,$W$3:$AM$105,COLUMN(OFFSET($B$1,0,0,1,16)),FALSE)),"",VLOOKUP(C86,$W$3:$AM$105,COLUMN(OFFSET($B$1,0,0,1,16)),FALSE))</f>
        <v>models.DecimalField</v>
      </c>
      <c r="E86" s="8" t="str">
        <f ca="1"/>
        <v/>
      </c>
      <c r="F86" s="2" t="str">
        <f ca="1"/>
        <v/>
      </c>
      <c r="G86" s="9" t="str">
        <f ca="1"/>
        <v/>
      </c>
      <c r="H86" s="11" t="str">
        <f ca="1"/>
        <v/>
      </c>
      <c r="I86" s="2" t="str">
        <f ca="1"/>
        <v/>
      </c>
      <c r="J86" s="2" t="str">
        <f ca="1"/>
        <v/>
      </c>
      <c r="K86" s="2" t="str">
        <f ca="1"/>
        <v>True</v>
      </c>
      <c r="L86" s="2" t="str">
        <f ca="1"/>
        <v>None</v>
      </c>
      <c r="M86" s="2" t="str">
        <f ca="1"/>
        <v>True</v>
      </c>
      <c r="N86" s="2" t="str">
        <f ca="1"/>
        <v/>
      </c>
      <c r="O86" s="2">
        <f ca="1"/>
        <v>8</v>
      </c>
      <c r="P86" s="2">
        <f ca="1"/>
        <v>2</v>
      </c>
      <c r="Q86" s="2" t="str">
        <f ca="1"/>
        <v/>
      </c>
      <c r="R86" s="2" t="str">
        <f ca="1"/>
        <v/>
      </c>
      <c r="S86" s="9" t="str">
        <f ca="1"/>
        <v/>
      </c>
      <c r="T86" t="s">
        <v>206</v>
      </c>
      <c r="U86" t="str" cm="1">
        <f t="array" aca="1" ref="U86" ca="1">B86&amp;" = "&amp;D86&amp;"("&amp;_xlfn.TEXTJOIN(", ",TRUE,_xlfn.TEXTJOIN(", ",TRUE,E86:G86),_xlfn.TEXTJOIN(", ",TRUE,IF(H86:S86="","",H$2:S$2&amp;"="&amp;H86:S86)))&amp;")"</f>
        <v>offer_amount = models.DecimalField(blank=True, default=None, null=True, max_digits=8, decimal_places=2)</v>
      </c>
    </row>
    <row r="87" spans="1:22">
      <c r="A87" s="5" t="s">
        <v>256</v>
      </c>
      <c r="B87" s="5" t="s">
        <v>86</v>
      </c>
      <c r="C87" s="6" t="s">
        <v>241</v>
      </c>
      <c r="D87" s="6" t="str">
        <f t="array" ref="D87:S87" ca="1">IF(ISBLANK(VLOOKUP(C87,$W$3:$AM$105,COLUMN(OFFSET($B$1,0,0,1,16)),FALSE)),"",VLOOKUP(C87,$W$3:$AM$105,COLUMN(OFFSET($B$1,0,0,1,16)),FALSE))</f>
        <v>models.ForeignKey</v>
      </c>
      <c r="E87" s="8" t="str">
        <f ca="1"/>
        <v>Employee</v>
      </c>
      <c r="F87" s="2" t="str">
        <f ca="1"/>
        <v/>
      </c>
      <c r="G87" s="9" t="str">
        <f ca="1"/>
        <v/>
      </c>
      <c r="H87" s="11" t="str">
        <f ca="1"/>
        <v>models.SET_NULL</v>
      </c>
      <c r="I87" s="2" t="str">
        <f ca="1"/>
        <v/>
      </c>
      <c r="J87" s="2" t="str">
        <f ca="1"/>
        <v/>
      </c>
      <c r="K87" s="2" t="str">
        <f ca="1"/>
        <v>True</v>
      </c>
      <c r="L87" s="2" t="str">
        <f ca="1"/>
        <v>None</v>
      </c>
      <c r="M87" s="2" t="str">
        <f ca="1"/>
        <v>True</v>
      </c>
      <c r="N87" s="2" t="str">
        <f ca="1"/>
        <v/>
      </c>
      <c r="O87" s="2" t="str">
        <f ca="1"/>
        <v/>
      </c>
      <c r="P87" s="2" t="str">
        <f ca="1"/>
        <v/>
      </c>
      <c r="Q87" s="2" t="str">
        <f ca="1"/>
        <v/>
      </c>
      <c r="R87" s="2" t="str">
        <f ca="1"/>
        <v/>
      </c>
      <c r="S87" s="9" t="str">
        <f ca="1"/>
        <v/>
      </c>
      <c r="T87" t="s">
        <v>206</v>
      </c>
      <c r="U87" t="str" cm="1">
        <f t="array" aca="1" ref="U87" ca="1">B87&amp;" = "&amp;D87&amp;"("&amp;_xlfn.TEXTJOIN(", ",TRUE,_xlfn.TEXTJOIN(", ",TRUE,E87:G87),_xlfn.TEXTJOIN(", ",TRUE,IF(H87:S87="","",H$2:S$2&amp;"="&amp;H87:S87)))&amp;")"</f>
        <v>employee = models.ForeignKey(Employee, on_delete=models.SET_NULL, blank=True, default=None, null=True)</v>
      </c>
    </row>
    <row r="88" spans="1:22">
      <c r="B88" s="5" t="s">
        <v>102</v>
      </c>
      <c r="C88" s="6" t="s">
        <v>251</v>
      </c>
      <c r="D88" s="6" t="str">
        <f t="array" ref="D88:S88" ca="1">IF(ISBLANK(VLOOKUP(C88,$W$3:$AM$105,COLUMN(OFFSET($B$1,0,0,1,16)),FALSE)),"",VLOOKUP(C88,$W$3:$AM$105,COLUMN(OFFSET($B$1,0,0,1,16)),FALSE))</f>
        <v>models.ForeignKey</v>
      </c>
      <c r="E88" s="8" t="str">
        <f ca="1"/>
        <v>Order</v>
      </c>
      <c r="F88" s="2" t="str">
        <f ca="1"/>
        <v/>
      </c>
      <c r="G88" s="9" t="str">
        <f ca="1"/>
        <v/>
      </c>
      <c r="H88" s="11" t="str">
        <f ca="1"/>
        <v>models.SET_NULL</v>
      </c>
      <c r="I88" s="2" t="str">
        <f ca="1"/>
        <v/>
      </c>
      <c r="J88" s="2" t="str">
        <f ca="1"/>
        <v/>
      </c>
      <c r="K88" s="2" t="str">
        <f ca="1"/>
        <v>True</v>
      </c>
      <c r="L88" s="2" t="str">
        <f ca="1"/>
        <v>None</v>
      </c>
      <c r="M88" s="2" t="str">
        <f ca="1"/>
        <v>True</v>
      </c>
      <c r="N88" s="2" t="str">
        <f ca="1"/>
        <v/>
      </c>
      <c r="O88" s="2" t="str">
        <f ca="1"/>
        <v/>
      </c>
      <c r="P88" s="2" t="str">
        <f ca="1"/>
        <v/>
      </c>
      <c r="Q88" s="2" t="str">
        <f ca="1"/>
        <v/>
      </c>
      <c r="R88" s="2" t="str">
        <f ca="1"/>
        <v/>
      </c>
      <c r="S88" s="9" t="str">
        <f ca="1"/>
        <v/>
      </c>
      <c r="T88" t="s">
        <v>206</v>
      </c>
      <c r="U88" t="str" cm="1">
        <f t="array" aca="1" ref="U88" ca="1">B88&amp;" = "&amp;D88&amp;"("&amp;_xlfn.TEXTJOIN(", ",TRUE,_xlfn.TEXTJOIN(", ",TRUE,E88:G88),_xlfn.TEXTJOIN(", ",TRUE,IF(H88:S88="","",H$2:S$2&amp;"="&amp;H88:S88)))&amp;")"</f>
        <v>order = models.ForeignKey(Order, on_delete=models.SET_NULL, blank=True, default=None, null=True)</v>
      </c>
    </row>
    <row r="89" spans="1:22">
      <c r="B89" s="5" t="s">
        <v>257</v>
      </c>
      <c r="C89" s="6" t="s">
        <v>260</v>
      </c>
      <c r="D89" s="6" t="str">
        <f t="array" ref="D89:S89" ca="1">IF(ISBLANK(VLOOKUP(C89,$W$3:$AM$105,COLUMN(OFFSET($B$1,0,0,1,16)),FALSE)),"",VLOOKUP(C89,$W$3:$AM$105,COLUMN(OFFSET($B$1,0,0,1,16)),FALSE))</f>
        <v>models.ForeignKey</v>
      </c>
      <c r="E89" s="8" t="str">
        <f ca="1"/>
        <v>Dropoff</v>
      </c>
      <c r="F89" s="2" t="str">
        <f ca="1"/>
        <v/>
      </c>
      <c r="G89" s="9" t="str">
        <f ca="1"/>
        <v/>
      </c>
      <c r="H89" s="11" t="str">
        <f ca="1"/>
        <v>models.SET_NULL</v>
      </c>
      <c r="I89" s="2" t="str">
        <f ca="1"/>
        <v/>
      </c>
      <c r="J89" s="2" t="str">
        <f ca="1"/>
        <v/>
      </c>
      <c r="K89" s="2" t="str">
        <f ca="1"/>
        <v>True</v>
      </c>
      <c r="L89" s="2" t="str">
        <f ca="1"/>
        <v>None</v>
      </c>
      <c r="M89" s="2" t="str">
        <f ca="1"/>
        <v>True</v>
      </c>
      <c r="N89" s="2" t="str">
        <f ca="1"/>
        <v/>
      </c>
      <c r="O89" s="2" t="str">
        <f ca="1"/>
        <v/>
      </c>
      <c r="P89" s="2" t="str">
        <f ca="1"/>
        <v/>
      </c>
      <c r="Q89" s="2" t="str">
        <f ca="1"/>
        <v/>
      </c>
      <c r="R89" s="2" t="str">
        <f ca="1"/>
        <v/>
      </c>
      <c r="S89" s="9" t="str">
        <f ca="1"/>
        <v/>
      </c>
      <c r="T89" t="s">
        <v>206</v>
      </c>
      <c r="U89" t="str" cm="1">
        <f t="array" aca="1" ref="U89" ca="1">B89&amp;" = "&amp;D89&amp;"("&amp;_xlfn.TEXTJOIN(", ",TRUE,_xlfn.TEXTJOIN(", ",TRUE,E89:G89),_xlfn.TEXTJOIN(", ",TRUE,IF(H89:S89="","",H$2:S$2&amp;"="&amp;H89:S89)))&amp;")"</f>
        <v>dropoff = models.ForeignKey(Dropoff, on_delete=models.SET_NULL, blank=True, default=None, null=True)</v>
      </c>
      <c r="V89" t="s">
        <v>206</v>
      </c>
    </row>
    <row r="90" spans="1:22">
      <c r="B90" s="5" t="s">
        <v>282</v>
      </c>
      <c r="C90" s="6" t="s">
        <v>334</v>
      </c>
      <c r="D90" s="6" t="str">
        <f t="array" ref="D90:S90" ca="1">IF(ISBLANK(VLOOKUP(C90,$W$3:$AM$105,COLUMN(OFFSET($B$1,0,0,1,16)),FALSE)),"",VLOOKUP(C90,$W$3:$AM$105,COLUMN(OFFSET($B$1,0,0,1,16)),FALSE))</f>
        <v>models.DateField</v>
      </c>
      <c r="E90" s="8" t="str">
        <f ca="1"/>
        <v/>
      </c>
      <c r="F90" s="2" t="str">
        <f ca="1"/>
        <v/>
      </c>
      <c r="G90" s="9" t="str">
        <f ca="1"/>
        <v/>
      </c>
      <c r="H90" s="11" t="str">
        <f ca="1"/>
        <v/>
      </c>
      <c r="I90" s="2" t="str">
        <f ca="1"/>
        <v/>
      </c>
      <c r="J90" s="2" t="str">
        <f ca="1"/>
        <v/>
      </c>
      <c r="K90" s="2" t="str">
        <f ca="1"/>
        <v>True</v>
      </c>
      <c r="L90" s="2" t="str">
        <f ca="1"/>
        <v>date.today</v>
      </c>
      <c r="M90" s="2" t="str">
        <f ca="1"/>
        <v>False</v>
      </c>
      <c r="N90" s="2" t="str">
        <f ca="1"/>
        <v/>
      </c>
      <c r="O90" s="2" t="str">
        <f ca="1"/>
        <v/>
      </c>
      <c r="P90" s="2" t="str">
        <f ca="1"/>
        <v/>
      </c>
      <c r="Q90" s="2" t="str">
        <f ca="1"/>
        <v/>
      </c>
      <c r="R90" s="2" t="str">
        <f ca="1"/>
        <v/>
      </c>
      <c r="S90" s="9" t="str">
        <f ca="1"/>
        <v/>
      </c>
      <c r="T90" t="s">
        <v>206</v>
      </c>
      <c r="U90" t="str" cm="1">
        <f t="array" aca="1" ref="U90" ca="1">B90&amp;" = "&amp;D90&amp;"("&amp;_xlfn.TEXTJOIN(", ",TRUE,_xlfn.TEXTJOIN(", ",TRUE,E90:G90),_xlfn.TEXTJOIN(", ",TRUE,IF(H90:S90="","",H$2:S$2&amp;"="&amp;H90:S90)))&amp;")"</f>
        <v>created_date = models.DateField(blank=True, default=date.today, null=False)</v>
      </c>
      <c r="V90" t="s">
        <v>206</v>
      </c>
    </row>
    <row r="91" spans="1:22">
      <c r="B91" s="5" t="s">
        <v>268</v>
      </c>
      <c r="C91" s="6" t="s">
        <v>7</v>
      </c>
      <c r="D91" s="6" t="str">
        <f t="array" ref="D91:S91" ca="1">IF(ISBLANK(VLOOKUP(C91,$W$3:$AM$105,COLUMN(OFFSET($B$1,0,0,1,16)),FALSE)),"",VLOOKUP(C91,$W$3:$AM$105,COLUMN(OFFSET($B$1,0,0,1,16)),FALSE))</f>
        <v>models.DateField</v>
      </c>
      <c r="E91" s="8" t="str">
        <f ca="1"/>
        <v/>
      </c>
      <c r="F91" s="2" t="str">
        <f ca="1"/>
        <v/>
      </c>
      <c r="G91" s="9" t="str">
        <f ca="1"/>
        <v/>
      </c>
      <c r="H91" s="11" t="str">
        <f ca="1"/>
        <v/>
      </c>
      <c r="I91" s="2" t="str">
        <f ca="1"/>
        <v/>
      </c>
      <c r="J91" s="2" t="str">
        <f ca="1"/>
        <v/>
      </c>
      <c r="K91" s="2" t="str">
        <f ca="1"/>
        <v>True</v>
      </c>
      <c r="L91" s="2" t="str">
        <f ca="1"/>
        <v>None</v>
      </c>
      <c r="M91" s="2" t="str">
        <f ca="1"/>
        <v>True</v>
      </c>
      <c r="N91" s="2" t="str">
        <f ca="1"/>
        <v/>
      </c>
      <c r="O91" s="2" t="str">
        <f ca="1"/>
        <v/>
      </c>
      <c r="P91" s="2" t="str">
        <f ca="1"/>
        <v/>
      </c>
      <c r="Q91" s="2" t="str">
        <f ca="1"/>
        <v/>
      </c>
      <c r="R91" s="2" t="str">
        <f ca="1"/>
        <v/>
      </c>
      <c r="S91" s="9" t="str">
        <f ca="1"/>
        <v/>
      </c>
      <c r="T91" t="s">
        <v>206</v>
      </c>
      <c r="U91" t="str" cm="1">
        <f t="array" aca="1" ref="U91" ca="1">B91&amp;" = "&amp;D91&amp;"("&amp;_xlfn.TEXTJOIN(", ",TRUE,_xlfn.TEXTJOIN(", ",TRUE,E91:G91),_xlfn.TEXTJOIN(", ",TRUE,IF(H91:S91="","",H$2:S$2&amp;"="&amp;H91:S91)))&amp;")"</f>
        <v>zero_date = models.DateField(blank=True, default=None, null=True)</v>
      </c>
      <c r="V91" t="s">
        <v>206</v>
      </c>
    </row>
    <row r="92" spans="1:22">
      <c r="B92" s="5" t="s">
        <v>283</v>
      </c>
      <c r="C92" s="6" t="s">
        <v>7</v>
      </c>
      <c r="D92" s="6" t="str">
        <f t="array" ref="D92:S92" ca="1">IF(ISBLANK(VLOOKUP(C92,$W$3:$AM$105,COLUMN(OFFSET($B$1,0,0,1,16)),FALSE)),"",VLOOKUP(C92,$W$3:$AM$105,COLUMN(OFFSET($B$1,0,0,1,16)),FALSE))</f>
        <v>models.DateField</v>
      </c>
      <c r="E92" s="8" t="str">
        <f ca="1"/>
        <v/>
      </c>
      <c r="F92" s="2" t="str">
        <f ca="1"/>
        <v/>
      </c>
      <c r="G92" s="9" t="str">
        <f ca="1"/>
        <v/>
      </c>
      <c r="H92" s="11" t="str">
        <f ca="1"/>
        <v/>
      </c>
      <c r="I92" s="2" t="str">
        <f ca="1"/>
        <v/>
      </c>
      <c r="J92" s="2" t="str">
        <f ca="1"/>
        <v/>
      </c>
      <c r="K92" s="2" t="str">
        <f ca="1"/>
        <v>True</v>
      </c>
      <c r="L92" s="2" t="str">
        <f ca="1"/>
        <v>None</v>
      </c>
      <c r="M92" s="2" t="str">
        <f ca="1"/>
        <v>True</v>
      </c>
      <c r="N92" s="2" t="str">
        <f ca="1"/>
        <v/>
      </c>
      <c r="O92" s="2" t="str">
        <f ca="1"/>
        <v/>
      </c>
      <c r="P92" s="2" t="str">
        <f ca="1"/>
        <v/>
      </c>
      <c r="Q92" s="2" t="str">
        <f ca="1"/>
        <v/>
      </c>
      <c r="R92" s="2" t="str">
        <f ca="1"/>
        <v/>
      </c>
      <c r="S92" s="9" t="str">
        <f ca="1"/>
        <v/>
      </c>
      <c r="T92" t="s">
        <v>206</v>
      </c>
      <c r="U92" t="str" cm="1">
        <f t="array" aca="1" ref="U92" ca="1">B92&amp;" = "&amp;D92&amp;"("&amp;_xlfn.TEXTJOIN(", ",TRUE,_xlfn.TEXTJOIN(", ",TRUE,E92:G92),_xlfn.TEXTJOIN(", ",TRUE,IF(H92:S92="","",H$2:S$2&amp;"="&amp;H92:S92)))&amp;")"</f>
        <v>change_date = models.DateField(blank=True, default=None, null=True)</v>
      </c>
      <c r="V92" t="s">
        <v>206</v>
      </c>
    </row>
    <row r="93" spans="1:22">
      <c r="B93" s="5" t="s">
        <v>263</v>
      </c>
      <c r="C93" s="6" t="s">
        <v>264</v>
      </c>
      <c r="D93" s="6" t="str">
        <f t="array" ref="D93:S93" ca="1">IF(ISBLANK(VLOOKUP(C93,$W$3:$AM$105,COLUMN(OFFSET($B$1,0,0,1,16)),FALSE)),"",VLOOKUP(C93,$W$3:$AM$105,COLUMN(OFFSET($B$1,0,0,1,16)),FALSE))</f>
        <v>models.ForeignKey</v>
      </c>
      <c r="E93" s="8" t="str">
        <f ca="1"/>
        <v>Section</v>
      </c>
      <c r="F93" s="2" t="str">
        <f ca="1"/>
        <v/>
      </c>
      <c r="G93" s="9" t="str">
        <f ca="1"/>
        <v/>
      </c>
      <c r="H93" s="11" t="str">
        <f ca="1"/>
        <v>models.SET_NULL</v>
      </c>
      <c r="I93" s="2" t="str">
        <f ca="1"/>
        <v/>
      </c>
      <c r="J93" s="2" t="str">
        <f ca="1"/>
        <v/>
      </c>
      <c r="K93" s="2" t="str">
        <f ca="1"/>
        <v>True</v>
      </c>
      <c r="L93" s="2" t="str">
        <f ca="1"/>
        <v>None</v>
      </c>
      <c r="M93" s="2" t="str">
        <f ca="1"/>
        <v>True</v>
      </c>
      <c r="N93" s="2" t="str">
        <f ca="1"/>
        <v/>
      </c>
      <c r="O93" s="2" t="str">
        <f ca="1"/>
        <v/>
      </c>
      <c r="P93" s="2" t="str">
        <f ca="1"/>
        <v/>
      </c>
      <c r="Q93" s="2" t="str">
        <f ca="1"/>
        <v/>
      </c>
      <c r="R93" s="2" t="str">
        <f ca="1"/>
        <v/>
      </c>
      <c r="S93" s="9" t="str">
        <f ca="1"/>
        <v/>
      </c>
      <c r="T93" t="s">
        <v>206</v>
      </c>
      <c r="U93" t="str" cm="1">
        <f t="array" aca="1" ref="U93" ca="1">B93&amp;" = "&amp;D93&amp;"("&amp;_xlfn.TEXTJOIN(", ",TRUE,_xlfn.TEXTJOIN(", ",TRUE,E93:G93),_xlfn.TEXTJOIN(", ",TRUE,IF(H93:S93="","",H$2:S$2&amp;"="&amp;H93:S93)))&amp;")"</f>
        <v>section = models.ForeignKey(Section, on_delete=models.SET_NULL, blank=True, default=None, null=True)</v>
      </c>
      <c r="V93" t="s">
        <v>206</v>
      </c>
    </row>
    <row r="94" spans="1:22">
      <c r="B94" s="5" t="s">
        <v>47</v>
      </c>
      <c r="C94" s="6" t="s">
        <v>213</v>
      </c>
      <c r="D94" s="6" t="str">
        <f t="array" ref="D94:S94" ca="1">IF(ISBLANK(VLOOKUP(C94,$W$3:$AM$105,COLUMN(OFFSET($B$1,0,0,1,16)),FALSE)),"",VLOOKUP(C94,$W$3:$AM$105,COLUMN(OFFSET($B$1,0,0,1,16)),FALSE))</f>
        <v>models.CharField</v>
      </c>
      <c r="E94" s="8" t="str">
        <f ca="1"/>
        <v/>
      </c>
      <c r="F94" s="2" t="str">
        <f ca="1"/>
        <v/>
      </c>
      <c r="G94" s="9" t="str">
        <f ca="1"/>
        <v/>
      </c>
      <c r="H94" s="11" t="str">
        <f ca="1"/>
        <v/>
      </c>
      <c r="I94" s="2" t="str">
        <f ca="1"/>
        <v/>
      </c>
      <c r="J94" s="2">
        <f ca="1"/>
        <v>100</v>
      </c>
      <c r="K94" s="2" t="str">
        <f ca="1"/>
        <v>True</v>
      </c>
      <c r="L94" s="2" t="str">
        <f ca="1"/>
        <v>''</v>
      </c>
      <c r="M94" s="2" t="str">
        <f ca="1"/>
        <v>False</v>
      </c>
      <c r="N94" s="2" t="str">
        <f ca="1"/>
        <v/>
      </c>
      <c r="O94" s="2" t="str">
        <f ca="1"/>
        <v/>
      </c>
      <c r="P94" s="2" t="str">
        <f ca="1"/>
        <v/>
      </c>
      <c r="Q94" s="2" t="str">
        <f ca="1"/>
        <v/>
      </c>
      <c r="R94" s="2" t="str">
        <f ca="1"/>
        <v/>
      </c>
      <c r="S94" s="9" t="str">
        <f ca="1"/>
        <v/>
      </c>
      <c r="T94" t="s">
        <v>206</v>
      </c>
      <c r="U94" t="str" cm="1">
        <f t="array" aca="1" ref="U94" ca="1">B94&amp;" = "&amp;D94&amp;"("&amp;_xlfn.TEXTJOIN(", ",TRUE,_xlfn.TEXTJOIN(", ",TRUE,E94:G94),_xlfn.TEXTJOIN(", ",TRUE,IF(H94:S94="","",H$2:S$2&amp;"="&amp;H94:S94)))&amp;")"</f>
        <v>description = models.CharField(max_length=100, blank=True, default='', null=False)</v>
      </c>
      <c r="V94" t="s">
        <v>206</v>
      </c>
    </row>
    <row r="95" spans="1:22">
      <c r="B95" s="5" t="s">
        <v>103</v>
      </c>
      <c r="C95" s="6" t="s">
        <v>213</v>
      </c>
      <c r="D95" s="6" t="str">
        <f t="array" ref="D95:S95" ca="1">IF(ISBLANK(VLOOKUP(C95,$W$3:$AM$105,COLUMN(OFFSET($B$1,0,0,1,16)),FALSE)),"",VLOOKUP(C95,$W$3:$AM$105,COLUMN(OFFSET($B$1,0,0,1,16)),FALSE))</f>
        <v>models.CharField</v>
      </c>
      <c r="E95" s="8" t="str">
        <f ca="1"/>
        <v/>
      </c>
      <c r="F95" s="2" t="str">
        <f ca="1"/>
        <v/>
      </c>
      <c r="G95" s="9" t="str">
        <f ca="1"/>
        <v/>
      </c>
      <c r="H95" s="11" t="str">
        <f ca="1"/>
        <v/>
      </c>
      <c r="I95" s="2" t="str">
        <f ca="1"/>
        <v/>
      </c>
      <c r="J95" s="2">
        <f ca="1"/>
        <v>100</v>
      </c>
      <c r="K95" s="2" t="str">
        <f ca="1"/>
        <v>True</v>
      </c>
      <c r="L95" s="2" t="str">
        <f ca="1"/>
        <v>''</v>
      </c>
      <c r="M95" s="2" t="str">
        <f ca="1"/>
        <v>False</v>
      </c>
      <c r="N95" s="2" t="str">
        <f ca="1"/>
        <v/>
      </c>
      <c r="O95" s="2" t="str">
        <f ca="1"/>
        <v/>
      </c>
      <c r="P95" s="2" t="str">
        <f ca="1"/>
        <v/>
      </c>
      <c r="Q95" s="2" t="str">
        <f ca="1"/>
        <v/>
      </c>
      <c r="R95" s="2" t="str">
        <f ca="1"/>
        <v/>
      </c>
      <c r="S95" s="9" t="str">
        <f ca="1"/>
        <v/>
      </c>
      <c r="T95" t="s">
        <v>206</v>
      </c>
      <c r="U95" t="str" cm="1">
        <f t="array" aca="1" ref="U95" ca="1">B95&amp;" = "&amp;D95&amp;"("&amp;_xlfn.TEXTJOIN(", ",TRUE,_xlfn.TEXTJOIN(", ",TRUE,E95:G95),_xlfn.TEXTJOIN(", ",TRUE,IF(H95:S95="","",H$2:S$2&amp;"="&amp;H95:S95)))&amp;")"</f>
        <v>brand = models.CharField(max_length=100, blank=True, default='', null=False)</v>
      </c>
      <c r="V95" t="s">
        <v>206</v>
      </c>
    </row>
    <row r="96" spans="1:22">
      <c r="B96" s="5" t="s">
        <v>253</v>
      </c>
      <c r="C96" s="6" t="s">
        <v>270</v>
      </c>
      <c r="D96" s="6" t="str">
        <f t="array" ref="D96:S96" ca="1">IF(ISBLANK(VLOOKUP(C96,$W$3:$AM$105,COLUMN(OFFSET($B$1,0,0,1,16)),FALSE)),"",VLOOKUP(C96,$W$3:$AM$105,COLUMN(OFFSET($B$1,0,0,1,16)),FALSE))</f>
        <v>models.CharField</v>
      </c>
      <c r="E96" s="8" t="str">
        <f ca="1"/>
        <v/>
      </c>
      <c r="F96" s="2" t="str">
        <f ca="1"/>
        <v/>
      </c>
      <c r="G96" s="9" t="str">
        <f ca="1"/>
        <v/>
      </c>
      <c r="H96" s="11" t="str">
        <f ca="1"/>
        <v/>
      </c>
      <c r="I96" s="2" t="str">
        <f ca="1"/>
        <v/>
      </c>
      <c r="J96" s="2">
        <f ca="1"/>
        <v>50</v>
      </c>
      <c r="K96" s="2" t="str">
        <f ca="1"/>
        <v>True</v>
      </c>
      <c r="L96" s="2" t="str">
        <f ca="1"/>
        <v>''</v>
      </c>
      <c r="M96" s="2" t="str">
        <f ca="1"/>
        <v>False</v>
      </c>
      <c r="N96" s="2" t="str">
        <f ca="1"/>
        <v/>
      </c>
      <c r="O96" s="2" t="str">
        <f ca="1"/>
        <v/>
      </c>
      <c r="P96" s="2" t="str">
        <f ca="1"/>
        <v/>
      </c>
      <c r="Q96" s="2" t="str">
        <f ca="1"/>
        <v>CONDITION_LIST</v>
      </c>
      <c r="R96" s="2" t="str">
        <f ca="1"/>
        <v/>
      </c>
      <c r="S96" s="9" t="str">
        <f ca="1"/>
        <v/>
      </c>
      <c r="T96" t="s">
        <v>206</v>
      </c>
      <c r="U96" t="str" cm="1">
        <f t="array" aca="1" ref="U96" ca="1">B96&amp;" = "&amp;D96&amp;"("&amp;_xlfn.TEXTJOIN(", ",TRUE,_xlfn.TEXTJOIN(", ",TRUE,E96:G96),_xlfn.TEXTJOIN(", ",TRUE,IF(H96:S96="","",H$2:S$2&amp;"="&amp;H96:S96)))&amp;")"</f>
        <v>condition = models.CharField(max_length=50, blank=True, default='', null=False, choices=CONDITION_LIST)</v>
      </c>
      <c r="V96" t="s">
        <v>206</v>
      </c>
    </row>
    <row r="97" spans="1:21">
      <c r="B97" s="5" t="s">
        <v>254</v>
      </c>
      <c r="C97" s="6" t="s">
        <v>274</v>
      </c>
      <c r="D97" s="6" t="str">
        <f t="array" ref="D97:S97" ca="1">IF(ISBLANK(VLOOKUP(C97,$W$3:$AM$105,COLUMN(OFFSET($B$1,0,0,1,16)),FALSE)),"",VLOOKUP(C97,$W$3:$AM$105,COLUMN(OFFSET($B$1,0,0,1,16)),FALSE))</f>
        <v>models.CharField</v>
      </c>
      <c r="E97" s="8" t="str">
        <f ca="1"/>
        <v/>
      </c>
      <c r="F97" s="2" t="str">
        <f ca="1"/>
        <v/>
      </c>
      <c r="G97" s="9" t="str">
        <f ca="1"/>
        <v/>
      </c>
      <c r="H97" s="11" t="str">
        <f ca="1"/>
        <v/>
      </c>
      <c r="I97" s="2" t="str">
        <f ca="1"/>
        <v/>
      </c>
      <c r="J97" s="2">
        <f ca="1"/>
        <v>50</v>
      </c>
      <c r="K97" s="2" t="str">
        <f ca="1"/>
        <v>True</v>
      </c>
      <c r="L97" s="2" t="str">
        <f ca="1"/>
        <v>''</v>
      </c>
      <c r="M97" s="2" t="str">
        <f ca="1"/>
        <v>False</v>
      </c>
      <c r="N97" s="2" t="str">
        <f ca="1"/>
        <v/>
      </c>
      <c r="O97" s="2" t="str">
        <f ca="1"/>
        <v/>
      </c>
      <c r="P97" s="2" t="str">
        <f ca="1"/>
        <v/>
      </c>
      <c r="Q97" s="2" t="str">
        <f ca="1"/>
        <v>TESTED_LIST</v>
      </c>
      <c r="R97" s="2" t="str">
        <f ca="1"/>
        <v/>
      </c>
      <c r="S97" s="9" t="str">
        <f ca="1"/>
        <v/>
      </c>
      <c r="T97" t="s">
        <v>206</v>
      </c>
      <c r="U97" t="str" cm="1">
        <f t="array" aca="1" ref="U97" ca="1">B97&amp;" = "&amp;D97&amp;"("&amp;_xlfn.TEXTJOIN(", ",TRUE,_xlfn.TEXTJOIN(", ",TRUE,E97:G97),_xlfn.TEXTJOIN(", ",TRUE,IF(H97:S97="","",H$2:S$2&amp;"="&amp;H97:S97)))&amp;")"</f>
        <v>tested = models.CharField(max_length=50, blank=True, default='', null=False, choices=TESTED_LIST)</v>
      </c>
    </row>
    <row r="98" spans="1:21">
      <c r="B98" s="5" t="s">
        <v>255</v>
      </c>
      <c r="C98" s="6" t="s">
        <v>284</v>
      </c>
      <c r="D98" s="6" t="str">
        <f t="array" ref="D98:S98" ca="1">IF(ISBLANK(VLOOKUP(C98,$W$3:$AM$105,COLUMN(OFFSET($B$1,0,0,1,16)),FALSE)),"",VLOOKUP(C98,$W$3:$AM$105,COLUMN(OFFSET($B$1,0,0,1,16)),FALSE))</f>
        <v>models.CharField</v>
      </c>
      <c r="E98" s="8" t="str">
        <f ca="1"/>
        <v/>
      </c>
      <c r="F98" s="2" t="str">
        <f ca="1"/>
        <v/>
      </c>
      <c r="G98" s="9" t="str">
        <f ca="1"/>
        <v/>
      </c>
      <c r="H98" s="11" t="str">
        <f ca="1"/>
        <v/>
      </c>
      <c r="I98" s="2" t="str">
        <f ca="1"/>
        <v/>
      </c>
      <c r="J98" s="2">
        <f ca="1"/>
        <v>999</v>
      </c>
      <c r="K98" s="2" t="str">
        <f ca="1"/>
        <v>True</v>
      </c>
      <c r="L98" s="2" t="str">
        <f ca="1"/>
        <v>''</v>
      </c>
      <c r="M98" s="2" t="str">
        <f ca="1"/>
        <v>False</v>
      </c>
      <c r="N98" s="2" t="str">
        <f ca="1"/>
        <v/>
      </c>
      <c r="O98" s="2" t="str">
        <f ca="1"/>
        <v/>
      </c>
      <c r="P98" s="2" t="str">
        <f ca="1"/>
        <v/>
      </c>
      <c r="Q98" s="2" t="str">
        <f ca="1"/>
        <v/>
      </c>
      <c r="R98" s="2" t="str">
        <f ca="1"/>
        <v/>
      </c>
      <c r="S98" s="9" t="str">
        <f ca="1"/>
        <v/>
      </c>
      <c r="T98" t="s">
        <v>206</v>
      </c>
      <c r="U98" t="str" cm="1">
        <f t="array" aca="1" ref="U98" ca="1">B98&amp;" = "&amp;D98&amp;"("&amp;_xlfn.TEXTJOIN(", ",TRUE,_xlfn.TEXTJOIN(", ",TRUE,E98:G98),_xlfn.TEXTJOIN(", ",TRUE,IF(H98:S98="","",H$2:S$2&amp;"="&amp;H98:S98)))&amp;")"</f>
        <v>tags = models.CharField(max_length=999, blank=True, default='', null=False)</v>
      </c>
    </row>
    <row r="99" spans="1:21">
      <c r="B99" s="5" t="s">
        <v>280</v>
      </c>
      <c r="C99" s="6" t="s">
        <v>266</v>
      </c>
      <c r="D99" s="6" t="str">
        <f t="array" ref="D99:S99" ca="1">IF(ISBLANK(VLOOKUP(C99,$W$3:$AM$105,COLUMN(OFFSET($B$1,0,0,1,16)),FALSE)),"",VLOOKUP(C99,$W$3:$AM$105,COLUMN(OFFSET($B$1,0,0,1,16)),FALSE))</f>
        <v>models.CharField</v>
      </c>
      <c r="E99" s="8" t="str">
        <f ca="1"/>
        <v/>
      </c>
      <c r="F99" s="2" t="str">
        <f ca="1"/>
        <v/>
      </c>
      <c r="G99" s="9" t="str">
        <f ca="1"/>
        <v/>
      </c>
      <c r="H99" s="11" t="str">
        <f ca="1"/>
        <v/>
      </c>
      <c r="I99" s="2" t="str">
        <f ca="1"/>
        <v/>
      </c>
      <c r="J99" s="2">
        <f ca="1"/>
        <v>2</v>
      </c>
      <c r="K99" s="2" t="str">
        <f ca="1"/>
        <v>True</v>
      </c>
      <c r="L99" s="2" t="str">
        <f ca="1"/>
        <v>''</v>
      </c>
      <c r="M99" s="2" t="str">
        <f ca="1"/>
        <v>False</v>
      </c>
      <c r="N99" s="2" t="str">
        <f ca="1"/>
        <v/>
      </c>
      <c r="O99" s="2" t="str">
        <f ca="1"/>
        <v/>
      </c>
      <c r="P99" s="2" t="str">
        <f ca="1"/>
        <v/>
      </c>
      <c r="Q99" s="2" t="str">
        <f ca="1"/>
        <v/>
      </c>
      <c r="R99" s="2" t="str">
        <f ca="1"/>
        <v/>
      </c>
      <c r="S99" s="9" t="str">
        <f ca="1"/>
        <v/>
      </c>
      <c r="T99" t="s">
        <v>206</v>
      </c>
      <c r="U99" t="str" cm="1">
        <f t="array" aca="1" ref="U99" ca="1">B99&amp;" = "&amp;D99&amp;"("&amp;_xlfn.TEXTJOIN(", ",TRUE,_xlfn.TEXTJOIN(", ",TRUE,E99:G99),_xlfn.TEXTJOIN(", ",TRUE,IF(H99:S99="","",H$2:S$2&amp;"="&amp;H99:S99)))&amp;")"</f>
        <v>price_code = models.CharField(max_length=2, blank=True, default='', null=False)</v>
      </c>
    </row>
    <row r="100" spans="1:21">
      <c r="B100" s="5" t="s">
        <v>252</v>
      </c>
      <c r="C100" s="6" t="s">
        <v>208</v>
      </c>
      <c r="D100" s="6" t="str">
        <f t="array" ref="D100:S100" ca="1">IF(ISBLANK(VLOOKUP(C100,$W$3:$AM$105,COLUMN(OFFSET($B$1,0,0,1,16)),FALSE)),"",VLOOKUP(C100,$W$3:$AM$105,COLUMN(OFFSET($B$1,0,0,1,16)),FALSE))</f>
        <v>models.DecimalField</v>
      </c>
      <c r="E100" s="8" t="str">
        <f ca="1"/>
        <v/>
      </c>
      <c r="F100" s="2" t="str">
        <f ca="1"/>
        <v/>
      </c>
      <c r="G100" s="9" t="str">
        <f ca="1"/>
        <v/>
      </c>
      <c r="H100" s="11" t="str">
        <f ca="1"/>
        <v/>
      </c>
      <c r="I100" s="2" t="str">
        <f ca="1"/>
        <v/>
      </c>
      <c r="J100" s="2" t="str">
        <f ca="1"/>
        <v/>
      </c>
      <c r="K100" s="2" t="str">
        <f ca="1"/>
        <v>True</v>
      </c>
      <c r="L100" s="2" t="str">
        <f ca="1"/>
        <v>None</v>
      </c>
      <c r="M100" s="2" t="str">
        <f ca="1"/>
        <v>True</v>
      </c>
      <c r="N100" s="2" t="str">
        <f ca="1"/>
        <v/>
      </c>
      <c r="O100" s="2">
        <f ca="1"/>
        <v>8</v>
      </c>
      <c r="P100" s="2">
        <f ca="1"/>
        <v>2</v>
      </c>
      <c r="Q100" s="2" t="str">
        <f ca="1"/>
        <v/>
      </c>
      <c r="R100" s="2" t="str">
        <f ca="1"/>
        <v/>
      </c>
      <c r="S100" s="9" t="str">
        <f ca="1"/>
        <v/>
      </c>
      <c r="T100" t="s">
        <v>206</v>
      </c>
      <c r="U100" t="str" cm="1">
        <f t="array" aca="1" ref="U100" ca="1">B100&amp;" = "&amp;D100&amp;"("&amp;_xlfn.TEXTJOIN(", ",TRUE,_xlfn.TEXTJOIN(", ",TRUE,E100:G100),_xlfn.TEXTJOIN(", ",TRUE,IF(H100:S100="","",H$2:S$2&amp;"="&amp;H100:S100)))&amp;")"</f>
        <v>static_price = models.DecimalField(blank=True, default=None, null=True, max_digits=8, decimal_places=2)</v>
      </c>
    </row>
    <row r="101" spans="1:21">
      <c r="B101" s="5" t="s">
        <v>281</v>
      </c>
      <c r="C101" s="6" t="s">
        <v>208</v>
      </c>
      <c r="D101" s="6" t="str">
        <f t="array" ref="D101:S101" ca="1">IF(ISBLANK(VLOOKUP(C101,$W$3:$AM$105,COLUMN(OFFSET($B$1,0,0,1,16)),FALSE)),"",VLOOKUP(C101,$W$3:$AM$105,COLUMN(OFFSET($B$1,0,0,1,16)),FALSE))</f>
        <v>models.DecimalField</v>
      </c>
      <c r="E101" s="8" t="str">
        <f ca="1"/>
        <v/>
      </c>
      <c r="F101" s="2" t="str">
        <f ca="1"/>
        <v/>
      </c>
      <c r="G101" s="9" t="str">
        <f ca="1"/>
        <v/>
      </c>
      <c r="H101" s="11" t="str">
        <f ca="1"/>
        <v/>
      </c>
      <c r="I101" s="2" t="str">
        <f ca="1"/>
        <v/>
      </c>
      <c r="J101" s="2" t="str">
        <f ca="1"/>
        <v/>
      </c>
      <c r="K101" s="2" t="str">
        <f ca="1"/>
        <v>True</v>
      </c>
      <c r="L101" s="2" t="str">
        <f ca="1"/>
        <v>None</v>
      </c>
      <c r="M101" s="2" t="str">
        <f ca="1"/>
        <v>True</v>
      </c>
      <c r="N101" s="2" t="str">
        <f ca="1"/>
        <v/>
      </c>
      <c r="O101" s="2">
        <f ca="1"/>
        <v>8</v>
      </c>
      <c r="P101" s="2">
        <f ca="1"/>
        <v>2</v>
      </c>
      <c r="Q101" s="2" t="str">
        <f ca="1"/>
        <v/>
      </c>
      <c r="R101" s="2" t="str">
        <f ca="1"/>
        <v/>
      </c>
      <c r="S101" s="9" t="str">
        <f ca="1"/>
        <v/>
      </c>
      <c r="T101" t="s">
        <v>206</v>
      </c>
      <c r="U101" t="str" cm="1">
        <f t="array" aca="1" ref="U101" ca="1">B101&amp;" = "&amp;D101&amp;"("&amp;_xlfn.TEXTJOIN(", ",TRUE,_xlfn.TEXTJOIN(", ",TRUE,E101:G101),_xlfn.TEXTJOIN(", ",TRUE,IF(H101:S101="","",H$2:S$2&amp;"="&amp;H101:S101)))&amp;")"</f>
        <v>expected_price = models.DecimalField(blank=True, default=None, null=True, max_digits=8, decimal_places=2)</v>
      </c>
    </row>
    <row r="102" spans="1:21">
      <c r="B102" s="5" t="s">
        <v>276</v>
      </c>
      <c r="C102" s="6" t="s">
        <v>278</v>
      </c>
      <c r="D102" s="6" t="str">
        <f t="array" ref="D102:S102" ca="1">IF(ISBLANK(VLOOKUP(C102,$W$3:$AM$105,COLUMN(OFFSET($B$1,0,0,1,16)),FALSE)),"",VLOOKUP(C102,$W$3:$AM$105,COLUMN(OFFSET($B$1,0,0,1,16)),FALSE))</f>
        <v>models.CharField</v>
      </c>
      <c r="E102" s="8" t="str">
        <f ca="1"/>
        <v/>
      </c>
      <c r="F102" s="2" t="str">
        <f ca="1"/>
        <v/>
      </c>
      <c r="G102" s="9" t="str">
        <f ca="1"/>
        <v/>
      </c>
      <c r="H102" s="11" t="str">
        <f ca="1"/>
        <v/>
      </c>
      <c r="I102" s="2" t="str">
        <f ca="1"/>
        <v/>
      </c>
      <c r="J102" s="2">
        <f ca="1"/>
        <v>50</v>
      </c>
      <c r="K102" s="2" t="str">
        <f ca="1"/>
        <v>True</v>
      </c>
      <c r="L102" s="2" t="str">
        <f ca="1"/>
        <v>''</v>
      </c>
      <c r="M102" s="2" t="str">
        <f ca="1"/>
        <v>False</v>
      </c>
      <c r="N102" s="2" t="str">
        <f ca="1"/>
        <v/>
      </c>
      <c r="O102" s="2" t="str">
        <f ca="1"/>
        <v/>
      </c>
      <c r="P102" s="2" t="str">
        <f ca="1"/>
        <v/>
      </c>
      <c r="Q102" s="2" t="str">
        <f ca="1"/>
        <v>STATUS_CHANGE_LIST</v>
      </c>
      <c r="R102" s="2" t="str">
        <f ca="1"/>
        <v/>
      </c>
      <c r="S102" s="9" t="str">
        <f ca="1"/>
        <v/>
      </c>
      <c r="T102" t="s">
        <v>206</v>
      </c>
      <c r="U102" t="str" cm="1">
        <f t="array" aca="1" ref="U102" ca="1">B102&amp;" = "&amp;D102&amp;"("&amp;_xlfn.TEXTJOIN(", ",TRUE,_xlfn.TEXTJOIN(", ",TRUE,E102:G102),_xlfn.TEXTJOIN(", ",TRUE,IF(H102:S102="","",H$2:S$2&amp;"="&amp;H102:S102)))&amp;")"</f>
        <v>status_change = models.CharField(max_length=50, blank=True, default='', null=False, choices=STATUS_CHANGE_LIST)</v>
      </c>
    </row>
    <row r="103" spans="1:21">
      <c r="A103" s="5" t="s">
        <v>287</v>
      </c>
      <c r="B103" s="5" t="s">
        <v>288</v>
      </c>
      <c r="C103" s="6" t="s">
        <v>289</v>
      </c>
      <c r="D103" s="6" t="str">
        <f t="array" ref="D103:S103" ca="1">IF(ISBLANK(VLOOKUP(C103,$W$3:$AM$105,COLUMN(OFFSET($B$1,0,0,1,16)),FALSE)),"",VLOOKUP(C103,$W$3:$AM$105,COLUMN(OFFSET($B$1,0,0,1,16)),FALSE))</f>
        <v>models.ForeignKey</v>
      </c>
      <c r="E103" s="8" t="str">
        <f ca="1"/>
        <v>Item</v>
      </c>
      <c r="F103" s="2" t="str">
        <f ca="1"/>
        <v/>
      </c>
      <c r="G103" s="9" t="str">
        <f ca="1"/>
        <v/>
      </c>
      <c r="H103" s="11" t="str">
        <f ca="1"/>
        <v>models.SET_NULL</v>
      </c>
      <c r="I103" s="2" t="str">
        <f ca="1"/>
        <v/>
      </c>
      <c r="J103" s="2" t="str">
        <f ca="1"/>
        <v/>
      </c>
      <c r="K103" s="2" t="str">
        <f ca="1"/>
        <v>True</v>
      </c>
      <c r="L103" s="2" t="str">
        <f ca="1"/>
        <v>None</v>
      </c>
      <c r="M103" s="2" t="str">
        <f ca="1"/>
        <v>True</v>
      </c>
      <c r="N103" s="2" t="str">
        <f ca="1"/>
        <v/>
      </c>
      <c r="O103" s="2" t="str">
        <f ca="1"/>
        <v/>
      </c>
      <c r="P103" s="2" t="str">
        <f ca="1"/>
        <v/>
      </c>
      <c r="Q103" s="2" t="str">
        <f ca="1"/>
        <v/>
      </c>
      <c r="R103" s="2" t="str">
        <f ca="1"/>
        <v/>
      </c>
      <c r="S103" s="9" t="str">
        <f ca="1"/>
        <v/>
      </c>
      <c r="T103" t="s">
        <v>206</v>
      </c>
      <c r="U103" t="str" cm="1">
        <f t="array" aca="1" ref="U103" ca="1">B103&amp;" = "&amp;D103&amp;"("&amp;_xlfn.TEXTJOIN(", ",TRUE,_xlfn.TEXTJOIN(", ",TRUE,E103:G103),_xlfn.TEXTJOIN(", ",TRUE,IF(H103:S103="","",H$2:S$2&amp;"="&amp;H103:S103)))&amp;")"</f>
        <v>item = models.ForeignKey(Item, on_delete=models.SET_NULL, blank=True, default=None, null=True)</v>
      </c>
    </row>
    <row r="104" spans="1:21">
      <c r="B104" s="5" t="s">
        <v>21</v>
      </c>
      <c r="C104" s="6" t="s">
        <v>271</v>
      </c>
      <c r="D104" s="6" t="str">
        <f t="array" ref="D104:S104" ca="1">IF(ISBLANK(VLOOKUP(C104,$W$3:$AM$105,COLUMN(OFFSET($B$1,0,0,1,16)),FALSE)),"",VLOOKUP(C104,$W$3:$AM$105,COLUMN(OFFSET($B$1,0,0,1,16)),FALSE))</f>
        <v>models.ImageField</v>
      </c>
      <c r="E104" s="8" t="str">
        <f ca="1"/>
        <v/>
      </c>
      <c r="F104" s="2" t="str">
        <f ca="1"/>
        <v/>
      </c>
      <c r="G104" s="9" t="str">
        <f ca="1"/>
        <v/>
      </c>
      <c r="H104" s="11" t="str">
        <f ca="1"/>
        <v/>
      </c>
      <c r="I104" s="2" t="str">
        <f ca="1"/>
        <v/>
      </c>
      <c r="J104" s="2" t="str">
        <f ca="1"/>
        <v/>
      </c>
      <c r="K104" s="2" t="str">
        <f ca="1"/>
        <v>True</v>
      </c>
      <c r="L104" s="2" t="str">
        <f ca="1"/>
        <v>''</v>
      </c>
      <c r="M104" s="2" t="str">
        <f ca="1"/>
        <v>False</v>
      </c>
      <c r="N104" s="2" t="str">
        <f ca="1"/>
        <v>ITM_IMG</v>
      </c>
      <c r="O104" s="2" t="str">
        <f ca="1"/>
        <v/>
      </c>
      <c r="P104" s="2" t="str">
        <f ca="1"/>
        <v/>
      </c>
      <c r="Q104" s="2" t="str">
        <f ca="1"/>
        <v/>
      </c>
      <c r="R104" s="2" t="str">
        <f ca="1"/>
        <v/>
      </c>
      <c r="S104" s="9" t="str">
        <f ca="1"/>
        <v/>
      </c>
      <c r="T104" t="s">
        <v>206</v>
      </c>
      <c r="U104" t="str" cm="1">
        <f t="array" aca="1" ref="U104" ca="1">B104&amp;" = "&amp;D104&amp;"("&amp;_xlfn.TEXTJOIN(", ",TRUE,_xlfn.TEXTJOIN(", ",TRUE,E104:G104),_xlfn.TEXTJOIN(", ",TRUE,IF(H104:S104="","",H$2:S$2&amp;"="&amp;H104:S104)))&amp;")"</f>
        <v>image = models.ImageField(blank=True, default='', null=False, upload_to=ITM_IMG)</v>
      </c>
    </row>
    <row r="105" spans="1:21">
      <c r="C105" s="6"/>
      <c r="D105" s="6"/>
      <c r="F105" s="2"/>
      <c r="G105" s="9"/>
      <c r="H105" s="11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9"/>
    </row>
    <row r="106" spans="1:21">
      <c r="C106" s="6"/>
      <c r="D106" s="6"/>
      <c r="F106" s="2"/>
      <c r="G106" s="9"/>
      <c r="H106" s="11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9"/>
    </row>
    <row r="107" spans="1:21">
      <c r="B107" s="1"/>
      <c r="C107" s="6"/>
      <c r="D107" s="6"/>
      <c r="F107" s="2"/>
      <c r="G107" s="9"/>
      <c r="H107" s="11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9"/>
    </row>
    <row r="108" spans="1:21">
      <c r="B108" s="1"/>
      <c r="C108" s="6"/>
      <c r="D108" s="6"/>
      <c r="F108" s="2"/>
      <c r="G108" s="9"/>
      <c r="H108" s="11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9"/>
    </row>
    <row r="109" spans="1:21">
      <c r="B109" s="1"/>
      <c r="C109" s="6"/>
      <c r="D109" s="6"/>
      <c r="F109" s="2"/>
      <c r="G109" s="9"/>
      <c r="H109" s="11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9"/>
    </row>
    <row r="110" spans="1:21">
      <c r="B110" s="1"/>
      <c r="C110" s="6"/>
      <c r="D110" s="6"/>
      <c r="F110" s="2"/>
      <c r="G110" s="9"/>
      <c r="H110" s="11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9"/>
    </row>
    <row r="111" spans="1:21">
      <c r="B111" s="1"/>
      <c r="C111" s="6"/>
      <c r="D111" s="6"/>
      <c r="F111" s="2"/>
      <c r="G111" s="9"/>
      <c r="H111" s="11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9"/>
    </row>
    <row r="112" spans="1:21">
      <c r="B112" s="1"/>
      <c r="C112" s="6"/>
      <c r="D112" s="6"/>
      <c r="F112" s="2"/>
      <c r="G112" s="9"/>
      <c r="H112" s="11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9"/>
    </row>
    <row r="113" spans="2:22">
      <c r="B113" s="1"/>
      <c r="C113" s="6"/>
      <c r="D113" s="6"/>
      <c r="F113" s="2"/>
      <c r="G113" s="9"/>
      <c r="H113" s="11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9"/>
      <c r="V113" t="s">
        <v>206</v>
      </c>
    </row>
    <row r="114" spans="2:22">
      <c r="C114" s="6"/>
      <c r="D114" s="6"/>
      <c r="F114" s="2"/>
      <c r="G114" s="9"/>
      <c r="H114" s="11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9"/>
      <c r="V114" t="s">
        <v>206</v>
      </c>
    </row>
    <row r="115" spans="2:22">
      <c r="C115" s="6"/>
      <c r="D115" s="6"/>
      <c r="F115" s="2"/>
      <c r="G115" s="9"/>
      <c r="H115" s="11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9"/>
    </row>
    <row r="116" spans="2:22">
      <c r="C116" s="6"/>
      <c r="D116" s="6"/>
      <c r="F116" s="2"/>
      <c r="G116" s="9"/>
      <c r="H116" s="11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9"/>
      <c r="V116" t="s">
        <v>206</v>
      </c>
    </row>
    <row r="117" spans="2:22">
      <c r="C117" s="6"/>
      <c r="D117" s="6"/>
      <c r="F117" s="2"/>
      <c r="G117" s="9"/>
      <c r="H117" s="11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9"/>
    </row>
    <row r="118" spans="2:22">
      <c r="C118" s="6"/>
      <c r="D118" s="6"/>
      <c r="F118" s="2"/>
      <c r="G118" s="9"/>
      <c r="H118" s="11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9"/>
      <c r="V118" t="s">
        <v>206</v>
      </c>
    </row>
    <row r="119" spans="2:22">
      <c r="C119" s="6"/>
      <c r="D119" s="6"/>
      <c r="F119" s="2"/>
      <c r="G119" s="9"/>
      <c r="H119" s="11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9"/>
      <c r="V119" t="s">
        <v>206</v>
      </c>
    </row>
    <row r="120" spans="2:22">
      <c r="C120" s="6"/>
      <c r="D120" s="6"/>
      <c r="F120" s="2"/>
      <c r="G120" s="9"/>
      <c r="H120" s="11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9"/>
      <c r="V120" t="s">
        <v>206</v>
      </c>
    </row>
    <row r="121" spans="2:22">
      <c r="C121" s="6"/>
      <c r="D121" s="6"/>
      <c r="F121" s="2"/>
      <c r="G121" s="9"/>
      <c r="H121" s="11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9"/>
      <c r="V121" t="s">
        <v>206</v>
      </c>
    </row>
    <row r="122" spans="2:22">
      <c r="C122" s="6"/>
      <c r="D122" s="6"/>
      <c r="F122" s="2"/>
      <c r="G122" s="9"/>
      <c r="H122" s="11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9"/>
      <c r="V122" t="s">
        <v>206</v>
      </c>
    </row>
    <row r="123" spans="2:22">
      <c r="C123" s="6"/>
      <c r="D123" s="6"/>
      <c r="F123" s="2"/>
      <c r="G123" s="9"/>
      <c r="H123" s="11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9"/>
      <c r="V123" t="s">
        <v>206</v>
      </c>
    </row>
    <row r="124" spans="2:22">
      <c r="C124" s="6"/>
      <c r="D124" s="6"/>
      <c r="F124" s="2"/>
      <c r="G124" s="9"/>
      <c r="H124" s="11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9"/>
      <c r="V124" t="s">
        <v>206</v>
      </c>
    </row>
    <row r="125" spans="2:22">
      <c r="C125" s="6"/>
      <c r="D125" s="6"/>
      <c r="F125" s="2"/>
      <c r="G125" s="9"/>
      <c r="H125" s="11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9"/>
      <c r="V125" t="s">
        <v>206</v>
      </c>
    </row>
    <row r="126" spans="2:22">
      <c r="C126" s="6"/>
      <c r="D126" s="6"/>
      <c r="F126" s="2"/>
      <c r="G126" s="9"/>
      <c r="H126" s="11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9"/>
      <c r="V126" t="s">
        <v>206</v>
      </c>
    </row>
    <row r="127" spans="2:22">
      <c r="C127" s="6"/>
      <c r="D127" s="6"/>
      <c r="F127" s="2"/>
      <c r="G127" s="9"/>
      <c r="H127" s="11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9"/>
      <c r="V127" t="s">
        <v>206</v>
      </c>
    </row>
    <row r="128" spans="2:22">
      <c r="C128" s="6"/>
      <c r="D128" s="6"/>
      <c r="F128" s="2"/>
      <c r="G128" s="9"/>
      <c r="H128" s="11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9"/>
      <c r="V128" t="s">
        <v>206</v>
      </c>
    </row>
    <row r="129" spans="3:22">
      <c r="C129" s="6"/>
      <c r="D129" s="6"/>
      <c r="F129" s="2"/>
      <c r="G129" s="9"/>
      <c r="H129" s="11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9"/>
      <c r="V129" t="s">
        <v>206</v>
      </c>
    </row>
    <row r="130" spans="3:22">
      <c r="C130" s="6"/>
      <c r="D130" s="6"/>
      <c r="F130" s="2"/>
      <c r="G130" s="9"/>
      <c r="H130" s="11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9"/>
      <c r="V130" t="s">
        <v>206</v>
      </c>
    </row>
    <row r="131" spans="3:22">
      <c r="C131" s="6"/>
      <c r="D131" s="6"/>
      <c r="F131" s="2"/>
      <c r="G131" s="9"/>
      <c r="H131" s="11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9"/>
      <c r="V131" t="s">
        <v>206</v>
      </c>
    </row>
    <row r="132" spans="3:22">
      <c r="C132" s="6"/>
      <c r="D132" s="6"/>
      <c r="F132" s="2"/>
      <c r="G132" s="9"/>
      <c r="H132" s="11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9"/>
      <c r="V132" t="s">
        <v>206</v>
      </c>
    </row>
    <row r="133" spans="3:22">
      <c r="C133" s="6"/>
      <c r="D133" s="6"/>
      <c r="F133" s="2"/>
      <c r="G133" s="9"/>
      <c r="H133" s="11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9"/>
      <c r="V133" t="s">
        <v>206</v>
      </c>
    </row>
    <row r="134" spans="3:22">
      <c r="C134" s="6"/>
      <c r="D134" s="6"/>
      <c r="F134" s="2"/>
      <c r="G134" s="9"/>
      <c r="H134" s="11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9"/>
      <c r="V134" t="s">
        <v>206</v>
      </c>
    </row>
    <row r="135" spans="3:22">
      <c r="C135" s="6"/>
      <c r="D135" s="6"/>
      <c r="F135" s="2"/>
      <c r="G135" s="9"/>
      <c r="H135" s="11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9"/>
      <c r="V135" t="s">
        <v>206</v>
      </c>
    </row>
    <row r="136" spans="3:22">
      <c r="C136" s="6"/>
      <c r="D136" s="6"/>
      <c r="F136" s="2"/>
      <c r="G136" s="9"/>
      <c r="H136" s="11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9"/>
      <c r="V136" t="s">
        <v>206</v>
      </c>
    </row>
    <row r="137" spans="3:22">
      <c r="C137" s="6"/>
      <c r="D137" s="6"/>
      <c r="F137" s="2"/>
      <c r="G137" s="9"/>
      <c r="H137" s="11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9"/>
      <c r="V137" t="s">
        <v>206</v>
      </c>
    </row>
    <row r="138" spans="3:22">
      <c r="D138" s="6"/>
      <c r="F138" s="2"/>
      <c r="G138" s="9"/>
      <c r="H138" s="11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9"/>
      <c r="V138" t="s">
        <v>206</v>
      </c>
    </row>
    <row r="139" spans="3:22">
      <c r="V139" t="s">
        <v>206</v>
      </c>
    </row>
    <row r="140" spans="3:22">
      <c r="V140" t="s">
        <v>206</v>
      </c>
    </row>
    <row r="141" spans="3:22">
      <c r="V141" t="s">
        <v>206</v>
      </c>
    </row>
    <row r="142" spans="3:22">
      <c r="V142" t="s">
        <v>206</v>
      </c>
    </row>
    <row r="143" spans="3:22">
      <c r="V143" t="s">
        <v>206</v>
      </c>
    </row>
    <row r="144" spans="3:22">
      <c r="V144" t="s">
        <v>206</v>
      </c>
    </row>
    <row r="145" spans="22:22">
      <c r="V145" t="s">
        <v>206</v>
      </c>
    </row>
    <row r="146" spans="22:22">
      <c r="V146" t="s">
        <v>206</v>
      </c>
    </row>
    <row r="147" spans="22:22">
      <c r="V147" t="s">
        <v>206</v>
      </c>
    </row>
    <row r="148" spans="22:22">
      <c r="V148" t="s">
        <v>206</v>
      </c>
    </row>
    <row r="149" spans="22:22">
      <c r="V149" t="s">
        <v>206</v>
      </c>
    </row>
    <row r="150" spans="22:22">
      <c r="V150" t="s">
        <v>206</v>
      </c>
    </row>
    <row r="151" spans="22:22">
      <c r="V151" t="s">
        <v>206</v>
      </c>
    </row>
    <row r="152" spans="22:22">
      <c r="V152" t="s">
        <v>206</v>
      </c>
    </row>
    <row r="153" spans="22:22">
      <c r="V153" t="s">
        <v>206</v>
      </c>
    </row>
    <row r="154" spans="22:22">
      <c r="V154" t="s">
        <v>206</v>
      </c>
    </row>
    <row r="155" spans="22:22">
      <c r="V155" t="s">
        <v>206</v>
      </c>
    </row>
    <row r="156" spans="22:22">
      <c r="V156" t="s">
        <v>206</v>
      </c>
    </row>
    <row r="157" spans="22:22">
      <c r="V157" t="s">
        <v>206</v>
      </c>
    </row>
    <row r="158" spans="22:22">
      <c r="V158" t="s">
        <v>206</v>
      </c>
    </row>
    <row r="159" spans="22:22">
      <c r="V159" t="s">
        <v>206</v>
      </c>
    </row>
    <row r="160" spans="22:22">
      <c r="V160" t="s">
        <v>206</v>
      </c>
    </row>
    <row r="161" spans="20:22">
      <c r="V161" t="s">
        <v>206</v>
      </c>
    </row>
    <row r="162" spans="20:22">
      <c r="V162" t="s">
        <v>206</v>
      </c>
    </row>
    <row r="163" spans="20:22">
      <c r="V163" t="s">
        <v>206</v>
      </c>
    </row>
    <row r="164" spans="20:22">
      <c r="V164" t="s">
        <v>206</v>
      </c>
    </row>
    <row r="165" spans="20:22">
      <c r="V165" t="s">
        <v>206</v>
      </c>
    </row>
    <row r="166" spans="20:22">
      <c r="V166" t="s">
        <v>206</v>
      </c>
    </row>
    <row r="167" spans="20:22">
      <c r="V167" t="s">
        <v>206</v>
      </c>
    </row>
    <row r="168" spans="20:22">
      <c r="V168" t="s">
        <v>206</v>
      </c>
    </row>
    <row r="169" spans="20:22">
      <c r="V169" t="s">
        <v>206</v>
      </c>
    </row>
    <row r="170" spans="20:22">
      <c r="V170" t="s">
        <v>206</v>
      </c>
    </row>
    <row r="171" spans="20:22">
      <c r="T171" t="s">
        <v>206</v>
      </c>
      <c r="V171" t="s">
        <v>206</v>
      </c>
    </row>
    <row r="172" spans="20:22">
      <c r="T172" t="s">
        <v>206</v>
      </c>
      <c r="V172" t="s">
        <v>206</v>
      </c>
    </row>
    <row r="173" spans="20:22">
      <c r="T173" t="s">
        <v>206</v>
      </c>
      <c r="V173" t="s">
        <v>206</v>
      </c>
    </row>
    <row r="174" spans="20:22">
      <c r="T174" t="s">
        <v>206</v>
      </c>
      <c r="V174" t="s">
        <v>206</v>
      </c>
    </row>
    <row r="175" spans="20:22">
      <c r="T175" t="s">
        <v>206</v>
      </c>
      <c r="V175" t="s">
        <v>206</v>
      </c>
    </row>
    <row r="176" spans="20:22">
      <c r="T176" t="s">
        <v>206</v>
      </c>
      <c r="V176" t="s">
        <v>206</v>
      </c>
    </row>
    <row r="177" spans="20:22">
      <c r="T177" t="s">
        <v>206</v>
      </c>
      <c r="V177" t="s">
        <v>206</v>
      </c>
    </row>
    <row r="178" spans="20:22">
      <c r="T178" t="s">
        <v>206</v>
      </c>
      <c r="V178" t="s">
        <v>206</v>
      </c>
    </row>
    <row r="179" spans="20:22">
      <c r="T179" t="s">
        <v>206</v>
      </c>
      <c r="V179" t="s">
        <v>206</v>
      </c>
    </row>
    <row r="180" spans="20:22">
      <c r="T180" t="s">
        <v>206</v>
      </c>
      <c r="V180" t="s">
        <v>206</v>
      </c>
    </row>
    <row r="181" spans="20:22">
      <c r="T181" t="s">
        <v>206</v>
      </c>
      <c r="V181" t="s">
        <v>206</v>
      </c>
    </row>
    <row r="182" spans="20:22">
      <c r="T182" t="s">
        <v>206</v>
      </c>
      <c r="V182" t="s">
        <v>206</v>
      </c>
    </row>
    <row r="183" spans="20:22">
      <c r="T183" t="s">
        <v>206</v>
      </c>
      <c r="V183" t="s">
        <v>206</v>
      </c>
    </row>
    <row r="184" spans="20:22">
      <c r="T184" t="s">
        <v>206</v>
      </c>
      <c r="V184" t="s">
        <v>206</v>
      </c>
    </row>
    <row r="185" spans="20:22">
      <c r="T185" t="s">
        <v>206</v>
      </c>
      <c r="V185" t="s">
        <v>206</v>
      </c>
    </row>
    <row r="186" spans="20:22">
      <c r="T186" t="s">
        <v>206</v>
      </c>
      <c r="V186" t="s">
        <v>206</v>
      </c>
    </row>
    <row r="187" spans="20:22">
      <c r="T187" t="s">
        <v>206</v>
      </c>
      <c r="V187" t="s">
        <v>206</v>
      </c>
    </row>
    <row r="188" spans="20:22">
      <c r="T188" t="s">
        <v>206</v>
      </c>
      <c r="V188" t="s">
        <v>206</v>
      </c>
    </row>
    <row r="189" spans="20:22">
      <c r="T189" t="s">
        <v>206</v>
      </c>
      <c r="V189" t="s">
        <v>206</v>
      </c>
    </row>
    <row r="190" spans="20:22">
      <c r="T190" t="s">
        <v>206</v>
      </c>
      <c r="V190" t="s">
        <v>206</v>
      </c>
    </row>
    <row r="191" spans="20:22">
      <c r="T191" t="s">
        <v>206</v>
      </c>
      <c r="V191" t="s">
        <v>206</v>
      </c>
    </row>
    <row r="192" spans="20:22">
      <c r="T192" t="s">
        <v>206</v>
      </c>
      <c r="V192" t="s">
        <v>206</v>
      </c>
    </row>
    <row r="193" spans="20:22">
      <c r="T193" t="s">
        <v>206</v>
      </c>
      <c r="V193" t="s">
        <v>206</v>
      </c>
    </row>
    <row r="194" spans="20:22">
      <c r="T194" t="s">
        <v>206</v>
      </c>
      <c r="V194" t="s">
        <v>206</v>
      </c>
    </row>
    <row r="195" spans="20:22">
      <c r="T195" t="s">
        <v>206</v>
      </c>
      <c r="V195" t="s">
        <v>206</v>
      </c>
    </row>
    <row r="196" spans="20:22">
      <c r="T196" t="s">
        <v>206</v>
      </c>
      <c r="V196" t="s">
        <v>206</v>
      </c>
    </row>
    <row r="197" spans="20:22">
      <c r="T197" t="s">
        <v>206</v>
      </c>
      <c r="V197" t="s">
        <v>206</v>
      </c>
    </row>
    <row r="198" spans="20:22">
      <c r="T198" t="s">
        <v>206</v>
      </c>
      <c r="V198" t="s">
        <v>206</v>
      </c>
    </row>
    <row r="199" spans="20:22">
      <c r="T199" t="s">
        <v>206</v>
      </c>
      <c r="V199" t="s">
        <v>206</v>
      </c>
    </row>
    <row r="200" spans="20:22">
      <c r="T200" t="s">
        <v>206</v>
      </c>
      <c r="V200" t="s">
        <v>206</v>
      </c>
    </row>
    <row r="201" spans="20:22">
      <c r="T201" t="s">
        <v>206</v>
      </c>
      <c r="V201" t="s">
        <v>206</v>
      </c>
    </row>
    <row r="202" spans="20:22">
      <c r="T202" t="s">
        <v>206</v>
      </c>
      <c r="V202" t="s">
        <v>206</v>
      </c>
    </row>
    <row r="203" spans="20:22">
      <c r="T203" t="s">
        <v>206</v>
      </c>
      <c r="V203" t="s">
        <v>206</v>
      </c>
    </row>
  </sheetData>
  <sortState xmlns:xlrd2="http://schemas.microsoft.com/office/spreadsheetml/2017/richdata2" ref="W4:AL203">
    <sortCondition ref="X3:X203"/>
    <sortCondition ref="W3:W203"/>
  </sortState>
  <mergeCells count="9">
    <mergeCell ref="AB1:AK1"/>
    <mergeCell ref="E1:G1"/>
    <mergeCell ref="Y1:AA1"/>
    <mergeCell ref="B1:B2"/>
    <mergeCell ref="C1:C2"/>
    <mergeCell ref="D1:D2"/>
    <mergeCell ref="W1:W2"/>
    <mergeCell ref="X1:X2"/>
    <mergeCell ref="H1:S1"/>
  </mergeCells>
  <conditionalFormatting sqref="A105:S9993 A4:C104">
    <cfRule type="expression" dxfId="1" priority="2">
      <formula>$A4&lt;&gt;""</formula>
    </cfRule>
  </conditionalFormatting>
  <conditionalFormatting sqref="A3:S3 D4:S104">
    <cfRule type="expression" dxfId="0" priority="1">
      <formula>$A3&lt;&gt;""</formula>
    </cfRule>
  </conditionalFormatting>
  <dataValidations count="2">
    <dataValidation type="list" allowBlank="1" showInputMessage="1" showErrorMessage="1" sqref="C49:C137 C4:C6 C36:C45 C20:C22 C18 C14 C24:C32 C10:C11" xr:uid="{369FB875-1C7E-4C7B-A9AC-595A804459AD}">
      <formula1>$W$3:$W$54</formula1>
    </dataValidation>
    <dataValidation type="list" allowBlank="1" showInputMessage="1" showErrorMessage="1" sqref="C3" xr:uid="{254F2E5D-01D0-424A-B9C6-424C57466D3F}">
      <formula1>$W$3:$W$100</formula1>
    </dataValidation>
  </dataValidations>
  <pageMargins left="0.7" right="0.7" top="0.75" bottom="0.75" header="0.3" footer="0.3"/>
  <pageSetup paperSize="133" orientation="portrait" horizontalDpi="203" verticalDpi="20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444A6-1745-4EA1-BA65-0F5BB8EC1924}">
  <sheetPr codeName="Sheet15"/>
  <dimension ref="A1:E8"/>
  <sheetViews>
    <sheetView zoomScale="130" zoomScaleNormal="130" workbookViewId="0">
      <selection sqref="A1:E1"/>
    </sheetView>
  </sheetViews>
  <sheetFormatPr defaultRowHeight="15"/>
  <cols>
    <col min="1" max="1" width="8.5703125" bestFit="1" customWidth="1"/>
    <col min="2" max="2" width="12.28515625" bestFit="1" customWidth="1"/>
    <col min="3" max="3" width="10.42578125" bestFit="1" customWidth="1"/>
    <col min="4" max="4" width="25.140625" bestFit="1" customWidth="1"/>
    <col min="5" max="5" width="5.28515625" bestFit="1" customWidth="1"/>
  </cols>
  <sheetData>
    <row r="1" spans="1:5">
      <c r="A1" s="21" t="s">
        <v>207</v>
      </c>
      <c r="B1" s="21" t="s">
        <v>364</v>
      </c>
      <c r="C1" s="21" t="s">
        <v>369</v>
      </c>
      <c r="D1" s="21" t="s">
        <v>324</v>
      </c>
      <c r="E1" s="21" t="s">
        <v>365</v>
      </c>
    </row>
    <row r="2" spans="1:5">
      <c r="A2" t="s">
        <v>368</v>
      </c>
      <c r="B2" t="s">
        <v>366</v>
      </c>
      <c r="C2" s="33" t="s">
        <v>292</v>
      </c>
      <c r="D2" s="33" t="s">
        <v>292</v>
      </c>
      <c r="E2" s="33" t="s">
        <v>292</v>
      </c>
    </row>
    <row r="3" spans="1:5">
      <c r="A3" t="s">
        <v>367</v>
      </c>
      <c r="B3" t="s">
        <v>366</v>
      </c>
      <c r="C3" s="33" t="s">
        <v>292</v>
      </c>
      <c r="D3" t="s">
        <v>370</v>
      </c>
      <c r="E3" s="33" t="s">
        <v>292</v>
      </c>
    </row>
    <row r="4" spans="1:5">
      <c r="A4" t="s">
        <v>7</v>
      </c>
      <c r="B4" t="s">
        <v>366</v>
      </c>
      <c r="C4" t="s">
        <v>7</v>
      </c>
      <c r="D4" s="33" t="s">
        <v>292</v>
      </c>
      <c r="E4" s="33" t="s">
        <v>292</v>
      </c>
    </row>
    <row r="5" spans="1:5">
      <c r="A5" t="s">
        <v>72</v>
      </c>
      <c r="B5" t="s">
        <v>366</v>
      </c>
      <c r="C5" t="s">
        <v>72</v>
      </c>
      <c r="D5" s="33" t="s">
        <v>292</v>
      </c>
      <c r="E5" s="33" t="s">
        <v>292</v>
      </c>
    </row>
    <row r="6" spans="1:5">
      <c r="A6" t="s">
        <v>551</v>
      </c>
      <c r="B6" t="s">
        <v>366</v>
      </c>
      <c r="D6" t="s">
        <v>552</v>
      </c>
      <c r="E6" s="33"/>
    </row>
    <row r="7" spans="1:5">
      <c r="A7" t="s">
        <v>20</v>
      </c>
      <c r="B7" t="s">
        <v>366</v>
      </c>
      <c r="C7" s="33" t="s">
        <v>292</v>
      </c>
      <c r="D7" t="s">
        <v>371</v>
      </c>
      <c r="E7" s="33" t="s">
        <v>292</v>
      </c>
    </row>
    <row r="8" spans="1:5">
      <c r="A8" t="s">
        <v>16</v>
      </c>
      <c r="B8" t="s">
        <v>366</v>
      </c>
      <c r="C8" s="33" t="s">
        <v>16</v>
      </c>
      <c r="D8" t="s">
        <v>372</v>
      </c>
      <c r="E8" s="33" t="s">
        <v>292</v>
      </c>
    </row>
  </sheetData>
  <sortState xmlns:xlrd2="http://schemas.microsoft.com/office/spreadsheetml/2017/richdata2" ref="A2:D7">
    <sortCondition ref="A2:A7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825EB-3F09-4DB7-BAF3-06B39D4E9A2F}">
  <dimension ref="A1:D20"/>
  <sheetViews>
    <sheetView zoomScale="175" zoomScaleNormal="175" workbookViewId="0">
      <selection activeCell="A8" sqref="A8"/>
    </sheetView>
  </sheetViews>
  <sheetFormatPr defaultColWidth="17.5703125" defaultRowHeight="15"/>
  <cols>
    <col min="2" max="2" width="9" style="2" bestFit="1" customWidth="1"/>
    <col min="3" max="3" width="13.7109375" style="2" bestFit="1" customWidth="1"/>
    <col min="4" max="4" width="10.28515625" style="2" bestFit="1" customWidth="1"/>
  </cols>
  <sheetData>
    <row r="1" spans="1:4">
      <c r="A1" s="19" t="s">
        <v>740</v>
      </c>
      <c r="B1" s="19" t="s">
        <v>1011</v>
      </c>
      <c r="C1" s="19" t="s">
        <v>1012</v>
      </c>
      <c r="D1" s="19" t="s">
        <v>1014</v>
      </c>
    </row>
    <row r="2" spans="1:4">
      <c r="A2" t="s">
        <v>86</v>
      </c>
      <c r="B2" s="2" t="s">
        <v>1013</v>
      </c>
      <c r="C2" s="2" t="str">
        <f>IFERROR(VLOOKUP(#REF!,form_template,4,FALSE),"")</f>
        <v/>
      </c>
    </row>
    <row r="3" spans="1:4">
      <c r="A3" t="s">
        <v>102</v>
      </c>
      <c r="B3" s="2" t="s">
        <v>1013</v>
      </c>
      <c r="C3" s="2" t="str">
        <f>IFERROR(VLOOKUP(#REF!,form_template,4,FALSE),"")</f>
        <v/>
      </c>
    </row>
    <row r="4" spans="1:4">
      <c r="A4" t="s">
        <v>257</v>
      </c>
      <c r="B4" s="2" t="s">
        <v>1013</v>
      </c>
      <c r="C4" s="2" t="str">
        <f>IFERROR(VLOOKUP(#REF!,form_template,4,FALSE),"")</f>
        <v/>
      </c>
    </row>
    <row r="5" spans="1:4">
      <c r="A5" t="s">
        <v>282</v>
      </c>
      <c r="B5" s="2" t="s">
        <v>1013</v>
      </c>
      <c r="C5" s="2" t="str">
        <f>IFERROR(VLOOKUP(#REF!,form_template,4,FALSE),"")</f>
        <v/>
      </c>
    </row>
    <row r="6" spans="1:4">
      <c r="A6" t="s">
        <v>268</v>
      </c>
      <c r="B6" s="2" t="s">
        <v>1013</v>
      </c>
      <c r="C6" s="2" t="str">
        <f>IFERROR(VLOOKUP(#REF!,form_template,4,FALSE),"")</f>
        <v/>
      </c>
    </row>
    <row r="7" spans="1:4">
      <c r="A7" t="s">
        <v>283</v>
      </c>
      <c r="B7" s="2" t="s">
        <v>1013</v>
      </c>
      <c r="C7" s="2" t="str">
        <f>IFERROR(VLOOKUP(#REF!,form_template,4,FALSE),"")</f>
        <v/>
      </c>
    </row>
    <row r="10" spans="1:4">
      <c r="A10" t="s">
        <v>263</v>
      </c>
      <c r="B10" s="2" t="str">
        <f>IFERROR(VLOOKUP(#REF!,form_template,3,FALSE),"")</f>
        <v/>
      </c>
      <c r="C10" s="2" t="s">
        <v>1013</v>
      </c>
      <c r="D10" s="2" t="s">
        <v>1013</v>
      </c>
    </row>
    <row r="11" spans="1:4">
      <c r="A11" t="s">
        <v>47</v>
      </c>
      <c r="B11" s="2" t="str">
        <f>IFERROR(VLOOKUP(#REF!,form_template,3,FALSE),"")</f>
        <v/>
      </c>
      <c r="C11" s="2" t="s">
        <v>1013</v>
      </c>
      <c r="D11" s="2" t="s">
        <v>1013</v>
      </c>
    </row>
    <row r="12" spans="1:4">
      <c r="A12" t="s">
        <v>103</v>
      </c>
      <c r="B12" s="2" t="str">
        <f>IFERROR(VLOOKUP(#REF!,form_template,3,FALSE),"")</f>
        <v/>
      </c>
      <c r="C12" s="2" t="s">
        <v>1013</v>
      </c>
      <c r="D12" s="2" t="s">
        <v>1013</v>
      </c>
    </row>
    <row r="13" spans="1:4">
      <c r="A13" t="s">
        <v>253</v>
      </c>
      <c r="B13" s="2" t="str">
        <f>IFERROR(VLOOKUP(#REF!,form_template,3,FALSE),"")</f>
        <v/>
      </c>
      <c r="C13" s="2" t="s">
        <v>1013</v>
      </c>
      <c r="D13" s="2" t="s">
        <v>1013</v>
      </c>
    </row>
    <row r="14" spans="1:4">
      <c r="A14" t="s">
        <v>254</v>
      </c>
      <c r="B14" s="2" t="str">
        <f>IFERROR(VLOOKUP(#REF!,form_template,3,FALSE),"")</f>
        <v/>
      </c>
      <c r="C14" s="2" t="str">
        <f>IFERROR(VLOOKUP(#REF!,form_template,4,FALSE),"")</f>
        <v/>
      </c>
      <c r="D14" s="2" t="s">
        <v>1013</v>
      </c>
    </row>
    <row r="15" spans="1:4">
      <c r="A15" t="s">
        <v>255</v>
      </c>
      <c r="B15" s="2" t="str">
        <f>IFERROR(VLOOKUP(#REF!,form_template,3,FALSE),"")</f>
        <v/>
      </c>
      <c r="C15" s="2" t="str">
        <f>IFERROR(VLOOKUP(#REF!,form_template,4,FALSE),"")</f>
        <v/>
      </c>
      <c r="D15" s="2" t="s">
        <v>1013</v>
      </c>
    </row>
    <row r="16" spans="1:4">
      <c r="A16" t="s">
        <v>280</v>
      </c>
      <c r="B16" s="2" t="s">
        <v>1013</v>
      </c>
      <c r="C16" s="2" t="str">
        <f>IFERROR(VLOOKUP(#REF!,form_template,4,FALSE),"")</f>
        <v/>
      </c>
    </row>
    <row r="17" spans="1:4">
      <c r="A17" t="s">
        <v>252</v>
      </c>
      <c r="B17" s="2" t="str">
        <f>IFERROR(VLOOKUP(#REF!,form_template,3,FALSE),"")</f>
        <v/>
      </c>
      <c r="C17" s="2" t="str">
        <f>IFERROR(VLOOKUP(#REF!,form_template,4,FALSE),"")</f>
        <v/>
      </c>
      <c r="D17" s="2" t="s">
        <v>1013</v>
      </c>
    </row>
    <row r="18" spans="1:4">
      <c r="A18" t="s">
        <v>281</v>
      </c>
      <c r="B18" s="2" t="str">
        <f>IFERROR(VLOOKUP(#REF!,form_template,3,FALSE),"")</f>
        <v/>
      </c>
      <c r="C18" s="2" t="s">
        <v>1013</v>
      </c>
      <c r="D18" s="2" t="s">
        <v>1013</v>
      </c>
    </row>
    <row r="19" spans="1:4">
      <c r="A19" t="s">
        <v>276</v>
      </c>
      <c r="C19" s="2" t="str">
        <f>IFERROR(VLOOKUP(#REF!,form_template,4,FALSE),"")</f>
        <v/>
      </c>
      <c r="D19" s="2" t="s">
        <v>1013</v>
      </c>
    </row>
    <row r="20" spans="1:4">
      <c r="A20" t="s">
        <v>1015</v>
      </c>
      <c r="B20" s="2" t="s">
        <v>1013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58B47-11A5-4AB5-AF54-F6CDBD5C949F}">
  <dimension ref="A1:C20"/>
  <sheetViews>
    <sheetView zoomScale="130" zoomScaleNormal="130" workbookViewId="0"/>
  </sheetViews>
  <sheetFormatPr defaultRowHeight="15"/>
  <cols>
    <col min="1" max="1" width="13.85546875" customWidth="1"/>
    <col min="2" max="2" width="19.85546875" customWidth="1"/>
    <col min="3" max="3" width="30.5703125" bestFit="1" customWidth="1"/>
  </cols>
  <sheetData>
    <row r="1" spans="1:3">
      <c r="A1" s="21" t="s">
        <v>746</v>
      </c>
      <c r="B1" s="21" t="s">
        <v>322</v>
      </c>
      <c r="C1" s="21" t="s">
        <v>747</v>
      </c>
    </row>
    <row r="2" spans="1:3">
      <c r="A2" t="s">
        <v>736</v>
      </c>
      <c r="B2" t="s">
        <v>737</v>
      </c>
      <c r="C2" t="s">
        <v>737</v>
      </c>
    </row>
    <row r="3" spans="1:3">
      <c r="A3" t="s">
        <v>724</v>
      </c>
      <c r="B3" t="s">
        <v>722</v>
      </c>
      <c r="C3" t="s">
        <v>723</v>
      </c>
    </row>
    <row r="4" spans="1:3">
      <c r="A4" t="s">
        <v>724</v>
      </c>
      <c r="B4" t="s">
        <v>725</v>
      </c>
      <c r="C4" t="s">
        <v>726</v>
      </c>
    </row>
    <row r="5" spans="1:3">
      <c r="A5" t="s">
        <v>326</v>
      </c>
      <c r="B5" t="s">
        <v>728</v>
      </c>
      <c r="C5" t="s">
        <v>730</v>
      </c>
    </row>
    <row r="6" spans="1:3">
      <c r="A6" t="s">
        <v>738</v>
      </c>
      <c r="B6" t="s">
        <v>737</v>
      </c>
      <c r="C6" t="s">
        <v>739</v>
      </c>
    </row>
    <row r="7" spans="1:3">
      <c r="A7" t="s">
        <v>727</v>
      </c>
      <c r="B7" t="s">
        <v>728</v>
      </c>
      <c r="C7" t="s">
        <v>729</v>
      </c>
    </row>
    <row r="8" spans="1:3">
      <c r="A8" t="s">
        <v>727</v>
      </c>
      <c r="B8" t="s">
        <v>740</v>
      </c>
      <c r="C8" t="s">
        <v>741</v>
      </c>
    </row>
    <row r="9" spans="1:3">
      <c r="A9" t="s">
        <v>731</v>
      </c>
      <c r="B9" t="s">
        <v>748</v>
      </c>
      <c r="C9" t="s">
        <v>749</v>
      </c>
    </row>
    <row r="10" spans="1:3">
      <c r="A10" t="s">
        <v>731</v>
      </c>
      <c r="B10" t="s">
        <v>732</v>
      </c>
      <c r="C10" t="s">
        <v>733</v>
      </c>
    </row>
    <row r="11" spans="1:3">
      <c r="A11" t="s">
        <v>731</v>
      </c>
      <c r="B11" t="s">
        <v>734</v>
      </c>
      <c r="C11" t="s">
        <v>735</v>
      </c>
    </row>
    <row r="12" spans="1:3">
      <c r="A12" t="s">
        <v>731</v>
      </c>
      <c r="B12" t="s">
        <v>744</v>
      </c>
      <c r="C12" t="s">
        <v>745</v>
      </c>
    </row>
    <row r="13" spans="1:3">
      <c r="A13" t="s">
        <v>731</v>
      </c>
      <c r="B13" t="s">
        <v>742</v>
      </c>
      <c r="C13" t="s">
        <v>743</v>
      </c>
    </row>
    <row r="14" spans="1:3">
      <c r="A14" t="s">
        <v>731</v>
      </c>
      <c r="B14" t="s">
        <v>750</v>
      </c>
      <c r="C14" t="s">
        <v>751</v>
      </c>
    </row>
    <row r="15" spans="1:3">
      <c r="A15" t="s">
        <v>323</v>
      </c>
      <c r="B15" t="s">
        <v>734</v>
      </c>
      <c r="C15" t="s">
        <v>760</v>
      </c>
    </row>
    <row r="16" spans="1:3">
      <c r="A16" t="s">
        <v>752</v>
      </c>
      <c r="B16" t="s">
        <v>753</v>
      </c>
      <c r="C16" t="s">
        <v>754</v>
      </c>
    </row>
    <row r="17" spans="1:3">
      <c r="A17" t="s">
        <v>752</v>
      </c>
      <c r="B17" t="s">
        <v>731</v>
      </c>
      <c r="C17" t="s">
        <v>755</v>
      </c>
    </row>
    <row r="18" spans="1:3">
      <c r="A18" t="s">
        <v>752</v>
      </c>
      <c r="B18" t="s">
        <v>756</v>
      </c>
      <c r="C18" t="s">
        <v>757</v>
      </c>
    </row>
    <row r="19" spans="1:3">
      <c r="A19" t="s">
        <v>758</v>
      </c>
      <c r="B19" t="s">
        <v>752</v>
      </c>
      <c r="C19" t="s">
        <v>759</v>
      </c>
    </row>
    <row r="20" spans="1:3">
      <c r="A20" t="s">
        <v>731</v>
      </c>
      <c r="B20" t="s">
        <v>912</v>
      </c>
      <c r="C20" t="s">
        <v>913</v>
      </c>
    </row>
  </sheetData>
  <sortState xmlns:xlrd2="http://schemas.microsoft.com/office/spreadsheetml/2017/richdata2" ref="A2:C16">
    <sortCondition ref="A2:A16"/>
    <sortCondition ref="B2:B16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86DCE-468B-46D1-87A9-332F7300310E}">
  <dimension ref="A1:H24"/>
  <sheetViews>
    <sheetView zoomScale="205" zoomScaleNormal="205" workbookViewId="0">
      <selection activeCell="A15" sqref="A15:J16"/>
    </sheetView>
  </sheetViews>
  <sheetFormatPr defaultRowHeight="15"/>
  <cols>
    <col min="1" max="1" width="12.7109375" style="12" bestFit="1" customWidth="1"/>
    <col min="2" max="2" width="9.140625" style="10"/>
    <col min="3" max="3" width="10.85546875" style="12" bestFit="1" customWidth="1"/>
    <col min="4" max="4" width="5.28515625" style="10" bestFit="1" customWidth="1"/>
    <col min="5" max="5" width="10.85546875" style="12" bestFit="1" customWidth="1"/>
    <col min="6" max="6" width="5.28515625" style="10" bestFit="1" customWidth="1"/>
    <col min="7" max="7" width="6.28515625" style="12" bestFit="1" customWidth="1"/>
    <col min="8" max="8" width="3.7109375" style="10" bestFit="1" customWidth="1"/>
    <col min="9" max="16384" width="9.140625" style="44"/>
  </cols>
  <sheetData>
    <row r="1" spans="1:8">
      <c r="A1" s="21" t="s">
        <v>46</v>
      </c>
      <c r="B1" s="21" t="s">
        <v>322</v>
      </c>
      <c r="C1" s="21" t="s">
        <v>46</v>
      </c>
      <c r="D1" s="21" t="s">
        <v>322</v>
      </c>
      <c r="E1" s="21" t="s">
        <v>46</v>
      </c>
      <c r="F1" s="21" t="s">
        <v>322</v>
      </c>
      <c r="G1" s="21" t="s">
        <v>46</v>
      </c>
      <c r="H1" s="21" t="s">
        <v>322</v>
      </c>
    </row>
    <row r="2" spans="1:8">
      <c r="A2" s="78" t="s">
        <v>2</v>
      </c>
    </row>
    <row r="3" spans="1:8">
      <c r="A3" s="78" t="s">
        <v>989</v>
      </c>
    </row>
    <row r="4" spans="1:8" s="77" customFormat="1">
      <c r="A4" s="78" t="s">
        <v>990</v>
      </c>
      <c r="B4" s="76"/>
      <c r="C4" s="75"/>
      <c r="D4" s="76"/>
      <c r="E4" s="75"/>
      <c r="F4" s="76"/>
      <c r="G4" s="75"/>
      <c r="H4" s="76"/>
    </row>
    <row r="5" spans="1:8" s="77" customFormat="1">
      <c r="A5" s="79" t="s">
        <v>986</v>
      </c>
      <c r="B5" s="80"/>
      <c r="C5" s="79"/>
      <c r="D5" s="80"/>
      <c r="E5" s="75"/>
      <c r="F5" s="76"/>
      <c r="G5" s="75"/>
      <c r="H5" s="76"/>
    </row>
    <row r="6" spans="1:8" s="77" customFormat="1">
      <c r="A6" s="79" t="s">
        <v>987</v>
      </c>
      <c r="B6" s="80"/>
      <c r="C6" s="79"/>
      <c r="D6" s="80"/>
      <c r="E6" s="75"/>
      <c r="F6" s="76"/>
      <c r="G6" s="75"/>
      <c r="H6" s="76"/>
    </row>
    <row r="7" spans="1:8" s="77" customFormat="1">
      <c r="A7" s="79" t="s">
        <v>333</v>
      </c>
      <c r="B7" s="80" t="s">
        <v>988</v>
      </c>
      <c r="C7" s="79"/>
      <c r="D7" s="80"/>
      <c r="E7" s="75"/>
      <c r="F7" s="76"/>
      <c r="G7" s="75"/>
      <c r="H7" s="76"/>
    </row>
    <row r="8" spans="1:8" s="77" customFormat="1">
      <c r="A8" s="79" t="s">
        <v>73</v>
      </c>
      <c r="B8" s="80" t="s">
        <v>988</v>
      </c>
      <c r="C8" s="79"/>
      <c r="D8" s="80"/>
      <c r="E8" s="75"/>
      <c r="F8" s="76"/>
      <c r="G8" s="75"/>
      <c r="H8" s="76"/>
    </row>
    <row r="9" spans="1:8" s="77" customFormat="1">
      <c r="A9" s="79" t="s">
        <v>1</v>
      </c>
      <c r="B9" s="80" t="s">
        <v>988</v>
      </c>
      <c r="C9" s="79"/>
      <c r="D9" s="80"/>
      <c r="E9" s="75"/>
      <c r="F9" s="76"/>
      <c r="G9" s="75"/>
      <c r="H9" s="76"/>
    </row>
    <row r="10" spans="1:8" s="77" customFormat="1">
      <c r="A10" s="79" t="s">
        <v>27</v>
      </c>
      <c r="B10" s="80" t="s">
        <v>988</v>
      </c>
      <c r="C10" s="79"/>
      <c r="D10" s="80"/>
      <c r="E10" s="75"/>
      <c r="F10" s="76"/>
      <c r="G10" s="75"/>
      <c r="H10" s="76"/>
    </row>
    <row r="11" spans="1:8" s="77" customFormat="1">
      <c r="A11" s="79" t="s">
        <v>980</v>
      </c>
      <c r="B11" s="80" t="s">
        <v>979</v>
      </c>
      <c r="C11" s="79" t="s">
        <v>984</v>
      </c>
      <c r="D11" s="80" t="s">
        <v>982</v>
      </c>
      <c r="E11" s="75"/>
      <c r="F11" s="76"/>
      <c r="G11" s="75"/>
      <c r="H11" s="76"/>
    </row>
    <row r="12" spans="1:8" s="77" customFormat="1">
      <c r="A12" s="75" t="s">
        <v>985</v>
      </c>
      <c r="B12" s="76" t="s">
        <v>982</v>
      </c>
      <c r="C12" s="75" t="s">
        <v>993</v>
      </c>
      <c r="D12" s="76" t="s">
        <v>979</v>
      </c>
      <c r="E12" s="75" t="s">
        <v>327</v>
      </c>
      <c r="F12" s="76" t="s">
        <v>728</v>
      </c>
      <c r="G12" s="75" t="s">
        <v>983</v>
      </c>
      <c r="H12" s="76" t="s">
        <v>982</v>
      </c>
    </row>
    <row r="13" spans="1:8" s="77" customFormat="1">
      <c r="A13" s="75"/>
      <c r="B13" s="76"/>
      <c r="C13" s="75"/>
      <c r="D13" s="76"/>
      <c r="E13" s="75" t="s">
        <v>994</v>
      </c>
      <c r="F13" s="76" t="s">
        <v>981</v>
      </c>
      <c r="G13" s="75"/>
      <c r="H13" s="76"/>
    </row>
    <row r="14" spans="1:8" s="77" customFormat="1">
      <c r="A14" s="75"/>
      <c r="B14" s="76"/>
      <c r="C14" s="75"/>
      <c r="D14" s="76"/>
      <c r="E14" s="75" t="s">
        <v>996</v>
      </c>
      <c r="F14" s="76" t="s">
        <v>979</v>
      </c>
      <c r="G14" s="75"/>
      <c r="H14" s="76"/>
    </row>
    <row r="15" spans="1:8" s="77" customFormat="1">
      <c r="A15" s="75" t="s">
        <v>991</v>
      </c>
      <c r="B15" s="76" t="s">
        <v>979</v>
      </c>
      <c r="C15" s="75"/>
      <c r="D15" s="76"/>
      <c r="E15" s="75"/>
      <c r="F15" s="76"/>
      <c r="G15" s="75"/>
      <c r="H15" s="76"/>
    </row>
    <row r="16" spans="1:8" s="77" customFormat="1">
      <c r="A16" s="75" t="s">
        <v>992</v>
      </c>
      <c r="B16" s="76" t="s">
        <v>982</v>
      </c>
      <c r="C16" s="75"/>
      <c r="D16" s="76"/>
      <c r="E16" s="75"/>
      <c r="F16" s="76"/>
      <c r="G16" s="75"/>
      <c r="H16" s="76"/>
    </row>
    <row r="17" spans="1:8" s="77" customFormat="1">
      <c r="A17" s="75" t="s">
        <v>0</v>
      </c>
      <c r="B17" s="76" t="s">
        <v>728</v>
      </c>
      <c r="C17" s="75"/>
      <c r="D17" s="76"/>
      <c r="E17" s="75"/>
      <c r="F17" s="76"/>
      <c r="G17" s="75"/>
      <c r="H17" s="76"/>
    </row>
    <row r="18" spans="1:8" s="77" customFormat="1">
      <c r="A18" s="75" t="s">
        <v>995</v>
      </c>
      <c r="B18" s="76" t="s">
        <v>981</v>
      </c>
      <c r="C18" s="75"/>
      <c r="D18" s="76"/>
      <c r="E18" s="75"/>
      <c r="F18" s="76"/>
      <c r="G18" s="75"/>
      <c r="H18" s="76"/>
    </row>
    <row r="19" spans="1:8" s="77" customFormat="1">
      <c r="A19" s="75" t="s">
        <v>978</v>
      </c>
      <c r="B19" s="76" t="s">
        <v>979</v>
      </c>
      <c r="C19" s="75" t="s">
        <v>983</v>
      </c>
      <c r="D19" s="76" t="s">
        <v>982</v>
      </c>
      <c r="E19" s="75"/>
      <c r="F19" s="76"/>
      <c r="G19" s="75"/>
      <c r="H19" s="76"/>
    </row>
    <row r="20" spans="1:8" s="77" customFormat="1">
      <c r="A20" s="75"/>
      <c r="B20" s="76"/>
      <c r="C20" s="75"/>
      <c r="D20" s="76"/>
      <c r="E20" s="75"/>
      <c r="F20" s="76"/>
      <c r="G20" s="75"/>
      <c r="H20" s="76"/>
    </row>
    <row r="21" spans="1:8" s="77" customFormat="1">
      <c r="A21" s="75"/>
      <c r="B21" s="76"/>
      <c r="C21" s="75"/>
      <c r="D21" s="76"/>
      <c r="E21" s="75"/>
      <c r="F21" s="76"/>
      <c r="G21" s="75"/>
      <c r="H21" s="76"/>
    </row>
    <row r="22" spans="1:8" s="77" customFormat="1">
      <c r="A22" s="75"/>
      <c r="B22" s="76"/>
      <c r="C22" s="75"/>
      <c r="D22" s="76"/>
      <c r="E22" s="75"/>
      <c r="F22" s="76"/>
      <c r="G22" s="75"/>
      <c r="H22" s="76"/>
    </row>
    <row r="23" spans="1:8" s="77" customFormat="1">
      <c r="A23" s="75"/>
      <c r="B23" s="76"/>
      <c r="C23" s="75"/>
      <c r="D23" s="76"/>
      <c r="E23" s="75"/>
      <c r="F23" s="76"/>
      <c r="G23" s="75"/>
      <c r="H23" s="76"/>
    </row>
    <row r="24" spans="1:8" s="77" customFormat="1">
      <c r="A24" s="75"/>
      <c r="B24" s="76"/>
      <c r="C24" s="75"/>
      <c r="D24" s="76"/>
      <c r="E24" s="75"/>
      <c r="F24" s="76"/>
      <c r="G24" s="75"/>
      <c r="H24" s="76"/>
    </row>
  </sheetData>
  <pageMargins left="0.7" right="0.7" top="0.75" bottom="0.75" header="0.3" footer="0.3"/>
  <pageSetup paperSize="0" orientation="portrait" horizontalDpi="203" verticalDpi="203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A9DB6-DF87-4B45-98FE-C5C82373E3A7}">
  <dimension ref="A1:E23"/>
  <sheetViews>
    <sheetView zoomScale="175" zoomScaleNormal="175" workbookViewId="0">
      <selection activeCell="B5" sqref="B5"/>
    </sheetView>
  </sheetViews>
  <sheetFormatPr defaultRowHeight="15"/>
  <cols>
    <col min="1" max="1" width="11.140625" bestFit="1" customWidth="1"/>
    <col min="2" max="2" width="51.5703125" customWidth="1"/>
    <col min="3" max="3" width="17.28515625" style="2" bestFit="1" customWidth="1"/>
    <col min="4" max="4" width="11" style="2" bestFit="1" customWidth="1"/>
    <col min="5" max="5" width="2" bestFit="1" customWidth="1"/>
  </cols>
  <sheetData>
    <row r="1" spans="1:5">
      <c r="A1" s="47" t="s">
        <v>88</v>
      </c>
      <c r="B1" s="47" t="s">
        <v>921</v>
      </c>
      <c r="C1" s="47" t="s">
        <v>948</v>
      </c>
      <c r="D1" s="47" t="s">
        <v>949</v>
      </c>
    </row>
    <row r="2" spans="1:5">
      <c r="A2" s="54">
        <v>44831</v>
      </c>
      <c r="B2" s="55" t="s">
        <v>922</v>
      </c>
      <c r="C2" s="56" t="s">
        <v>945</v>
      </c>
      <c r="D2" s="57">
        <f>AVERAGE(E2:$E$23)</f>
        <v>2.3181818181818183</v>
      </c>
      <c r="E2" s="55">
        <f>(IF(C2="easy",1,IF(C2="medium",2,3)))</f>
        <v>2</v>
      </c>
    </row>
    <row r="3" spans="1:5">
      <c r="A3" s="54">
        <v>44832</v>
      </c>
      <c r="B3" s="55" t="s">
        <v>923</v>
      </c>
      <c r="C3" s="56" t="s">
        <v>946</v>
      </c>
      <c r="D3" s="57">
        <f>AVERAGE(E3:$E$23)</f>
        <v>2.3333333333333335</v>
      </c>
      <c r="E3" s="55">
        <f t="shared" ref="E3:E23" si="0">(IF(C3="easy",1,IF(C3="medium",2,3)))</f>
        <v>1</v>
      </c>
    </row>
    <row r="4" spans="1:5">
      <c r="A4" s="54">
        <v>44833</v>
      </c>
      <c r="B4" s="55" t="s">
        <v>924</v>
      </c>
      <c r="C4" s="56" t="s">
        <v>946</v>
      </c>
      <c r="D4" s="57">
        <f>AVERAGE(E4:$E$23)</f>
        <v>2.4</v>
      </c>
      <c r="E4" s="55">
        <f t="shared" si="0"/>
        <v>1</v>
      </c>
    </row>
    <row r="5" spans="1:5">
      <c r="A5" s="58">
        <v>44834</v>
      </c>
      <c r="B5" s="59" t="s">
        <v>925</v>
      </c>
      <c r="C5" s="60" t="s">
        <v>945</v>
      </c>
      <c r="D5" s="61">
        <f>AVERAGE(E5:$E$23)</f>
        <v>2.4736842105263159</v>
      </c>
      <c r="E5" s="59">
        <f t="shared" si="0"/>
        <v>2</v>
      </c>
    </row>
    <row r="6" spans="1:5">
      <c r="A6" s="58">
        <v>44835</v>
      </c>
      <c r="B6" s="59" t="s">
        <v>926</v>
      </c>
      <c r="C6" s="60" t="s">
        <v>945</v>
      </c>
      <c r="D6" s="61">
        <f>AVERAGE(E6:$E$23)</f>
        <v>2.5</v>
      </c>
      <c r="E6" s="59">
        <f t="shared" si="0"/>
        <v>2</v>
      </c>
    </row>
    <row r="7" spans="1:5">
      <c r="A7" s="49">
        <v>44836</v>
      </c>
      <c r="B7" t="s">
        <v>927</v>
      </c>
      <c r="C7" s="2" t="s">
        <v>945</v>
      </c>
      <c r="D7" s="52">
        <f>AVERAGE(E7:$E$23)</f>
        <v>2.5294117647058822</v>
      </c>
      <c r="E7">
        <f t="shared" si="0"/>
        <v>2</v>
      </c>
    </row>
    <row r="8" spans="1:5">
      <c r="A8" s="49">
        <v>44837</v>
      </c>
      <c r="B8" t="s">
        <v>928</v>
      </c>
      <c r="C8" s="2" t="s">
        <v>947</v>
      </c>
      <c r="D8" s="52">
        <f>AVERAGE(E8:$E$23)</f>
        <v>2.5625</v>
      </c>
      <c r="E8">
        <f t="shared" si="0"/>
        <v>3</v>
      </c>
    </row>
    <row r="9" spans="1:5">
      <c r="A9" s="49">
        <v>44838</v>
      </c>
      <c r="B9" t="s">
        <v>929</v>
      </c>
      <c r="C9" s="2" t="s">
        <v>946</v>
      </c>
      <c r="D9" s="52">
        <f>AVERAGE(E9:$E$23)</f>
        <v>2.5333333333333332</v>
      </c>
      <c r="E9">
        <f t="shared" si="0"/>
        <v>1</v>
      </c>
    </row>
    <row r="10" spans="1:5">
      <c r="A10" s="49">
        <v>44839</v>
      </c>
      <c r="B10" t="s">
        <v>930</v>
      </c>
      <c r="C10" s="2" t="s">
        <v>947</v>
      </c>
      <c r="D10" s="52">
        <f>AVERAGE(E10:$E$23)</f>
        <v>2.6428571428571428</v>
      </c>
      <c r="E10">
        <f t="shared" si="0"/>
        <v>3</v>
      </c>
    </row>
    <row r="11" spans="1:5">
      <c r="A11" s="49">
        <v>44840</v>
      </c>
      <c r="B11" t="s">
        <v>931</v>
      </c>
      <c r="C11" s="2" t="s">
        <v>947</v>
      </c>
      <c r="D11" s="52">
        <f>AVERAGE(E11:$E$23)</f>
        <v>2.6153846153846154</v>
      </c>
      <c r="E11">
        <f t="shared" si="0"/>
        <v>3</v>
      </c>
    </row>
    <row r="12" spans="1:5">
      <c r="A12" s="50">
        <v>44841</v>
      </c>
      <c r="B12" s="51" t="s">
        <v>932</v>
      </c>
      <c r="C12" s="74" t="s">
        <v>943</v>
      </c>
      <c r="D12" s="52">
        <f>AVERAGE(E12:$E$23)</f>
        <v>2.5833333333333335</v>
      </c>
      <c r="E12">
        <f t="shared" si="0"/>
        <v>3</v>
      </c>
    </row>
    <row r="13" spans="1:5">
      <c r="A13" s="50">
        <v>44842</v>
      </c>
      <c r="B13" s="51" t="s">
        <v>933</v>
      </c>
      <c r="C13" s="74"/>
      <c r="D13" s="52">
        <f>AVERAGE(E13:$E$23)</f>
        <v>2.5454545454545454</v>
      </c>
      <c r="E13">
        <f t="shared" si="0"/>
        <v>3</v>
      </c>
    </row>
    <row r="14" spans="1:5">
      <c r="A14" s="49">
        <v>44843</v>
      </c>
      <c r="B14" t="s">
        <v>934</v>
      </c>
      <c r="C14" s="2" t="s">
        <v>947</v>
      </c>
      <c r="D14" s="52">
        <f>AVERAGE(E14:$E$23)</f>
        <v>2.5</v>
      </c>
      <c r="E14">
        <f t="shared" si="0"/>
        <v>3</v>
      </c>
    </row>
    <row r="15" spans="1:5">
      <c r="A15" s="49">
        <v>44844</v>
      </c>
      <c r="B15" t="s">
        <v>935</v>
      </c>
      <c r="C15" s="2" t="s">
        <v>947</v>
      </c>
      <c r="D15" s="52">
        <f>AVERAGE(E15:$E$23)</f>
        <v>2.4444444444444446</v>
      </c>
      <c r="E15">
        <f t="shared" si="0"/>
        <v>3</v>
      </c>
    </row>
    <row r="16" spans="1:5">
      <c r="A16" s="49">
        <v>44845</v>
      </c>
      <c r="B16" t="s">
        <v>936</v>
      </c>
      <c r="C16" s="2" t="s">
        <v>945</v>
      </c>
      <c r="D16" s="52">
        <f>AVERAGE(E16:$E$23)</f>
        <v>2.375</v>
      </c>
      <c r="E16">
        <f t="shared" si="0"/>
        <v>2</v>
      </c>
    </row>
    <row r="17" spans="1:5">
      <c r="A17" s="49">
        <v>44846</v>
      </c>
      <c r="B17" t="s">
        <v>937</v>
      </c>
      <c r="C17" s="2" t="s">
        <v>947</v>
      </c>
      <c r="D17" s="52">
        <f>AVERAGE(E17:$E$23)</f>
        <v>2.4285714285714284</v>
      </c>
      <c r="E17">
        <f t="shared" si="0"/>
        <v>3</v>
      </c>
    </row>
    <row r="18" spans="1:5">
      <c r="A18" s="49">
        <v>44847</v>
      </c>
      <c r="B18" t="s">
        <v>942</v>
      </c>
      <c r="C18" s="2" t="s">
        <v>947</v>
      </c>
      <c r="D18" s="52">
        <f>AVERAGE(E18:$E$23)</f>
        <v>2.3333333333333335</v>
      </c>
      <c r="E18">
        <f t="shared" si="0"/>
        <v>3</v>
      </c>
    </row>
    <row r="19" spans="1:5">
      <c r="A19" s="49">
        <v>44848</v>
      </c>
      <c r="B19" s="48" t="s">
        <v>938</v>
      </c>
      <c r="C19" s="2" t="s">
        <v>947</v>
      </c>
      <c r="D19" s="52">
        <f>AVERAGE(E19:$E$23)</f>
        <v>2.2000000000000002</v>
      </c>
      <c r="E19">
        <f t="shared" si="0"/>
        <v>3</v>
      </c>
    </row>
    <row r="20" spans="1:5">
      <c r="A20" s="49">
        <v>44849</v>
      </c>
      <c r="B20" s="48" t="s">
        <v>939</v>
      </c>
      <c r="C20" s="2" t="s">
        <v>947</v>
      </c>
      <c r="D20" s="52">
        <f>AVERAGE(E20:$E$23)</f>
        <v>2</v>
      </c>
      <c r="E20">
        <f t="shared" si="0"/>
        <v>3</v>
      </c>
    </row>
    <row r="21" spans="1:5">
      <c r="A21" s="49">
        <v>44850</v>
      </c>
      <c r="B21" s="48" t="s">
        <v>940</v>
      </c>
      <c r="C21" s="2" t="s">
        <v>945</v>
      </c>
      <c r="D21" s="52">
        <f>AVERAGE(E21:$E$23)</f>
        <v>1.6666666666666667</v>
      </c>
      <c r="E21">
        <f t="shared" si="0"/>
        <v>2</v>
      </c>
    </row>
    <row r="22" spans="1:5">
      <c r="A22" s="49">
        <v>44851</v>
      </c>
      <c r="B22" s="48" t="s">
        <v>941</v>
      </c>
      <c r="C22" s="2" t="s">
        <v>946</v>
      </c>
      <c r="D22" s="52">
        <f>AVERAGE(E22:$E$23)</f>
        <v>1.5</v>
      </c>
      <c r="E22">
        <f t="shared" si="0"/>
        <v>1</v>
      </c>
    </row>
    <row r="23" spans="1:5">
      <c r="A23" s="49">
        <v>44852</v>
      </c>
      <c r="B23" s="48" t="s">
        <v>952</v>
      </c>
      <c r="C23" s="2" t="s">
        <v>945</v>
      </c>
      <c r="D23" s="52">
        <f>AVERAGE(E23:$E$23)</f>
        <v>2</v>
      </c>
      <c r="E23">
        <f t="shared" si="0"/>
        <v>2</v>
      </c>
    </row>
  </sheetData>
  <mergeCells count="1">
    <mergeCell ref="C12:C1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A3FB9-A2C4-4F98-B163-199D38611549}">
  <dimension ref="A1:C49"/>
  <sheetViews>
    <sheetView zoomScale="145" zoomScaleNormal="145" workbookViewId="0">
      <selection activeCell="E26" sqref="E26"/>
    </sheetView>
  </sheetViews>
  <sheetFormatPr defaultRowHeight="15"/>
  <cols>
    <col min="1" max="1" width="25.7109375" bestFit="1" customWidth="1"/>
    <col min="2" max="2" width="15.28515625" bestFit="1" customWidth="1"/>
    <col min="3" max="3" width="17.42578125" bestFit="1" customWidth="1"/>
  </cols>
  <sheetData>
    <row r="1" spans="1:3">
      <c r="A1" s="34" t="s">
        <v>776</v>
      </c>
      <c r="B1" s="34" t="s">
        <v>827</v>
      </c>
      <c r="C1" t="s">
        <v>763</v>
      </c>
    </row>
    <row r="2" spans="1:3">
      <c r="A2" s="34" t="s">
        <v>450</v>
      </c>
      <c r="B2" s="34" t="s">
        <v>435</v>
      </c>
      <c r="C2" t="s">
        <v>414</v>
      </c>
    </row>
    <row r="3" spans="1:3">
      <c r="A3" s="34" t="s">
        <v>782</v>
      </c>
      <c r="B3" s="34" t="s">
        <v>831</v>
      </c>
      <c r="C3" t="s">
        <v>766</v>
      </c>
    </row>
    <row r="4" spans="1:3">
      <c r="A4" s="51" t="s">
        <v>457</v>
      </c>
      <c r="B4" s="51" t="s">
        <v>443</v>
      </c>
      <c r="C4" s="51" t="s">
        <v>418</v>
      </c>
    </row>
    <row r="5" spans="1:3">
      <c r="A5" s="34" t="s">
        <v>774</v>
      </c>
      <c r="B5" s="34" t="s">
        <v>836</v>
      </c>
      <c r="C5" t="s">
        <v>767</v>
      </c>
    </row>
    <row r="6" spans="1:3">
      <c r="A6" s="34" t="s">
        <v>771</v>
      </c>
      <c r="B6" s="34" t="s">
        <v>839</v>
      </c>
      <c r="C6" t="s">
        <v>762</v>
      </c>
    </row>
    <row r="7" spans="1:3">
      <c r="A7" s="51" t="s">
        <v>461</v>
      </c>
      <c r="B7" s="51" t="s">
        <v>447</v>
      </c>
      <c r="C7" s="51" t="s">
        <v>420</v>
      </c>
    </row>
    <row r="8" spans="1:3">
      <c r="A8" t="s">
        <v>448</v>
      </c>
      <c r="B8" t="s">
        <v>433</v>
      </c>
      <c r="C8" t="s">
        <v>412</v>
      </c>
    </row>
    <row r="9" spans="1:3">
      <c r="A9" t="s">
        <v>453</v>
      </c>
      <c r="B9" t="s">
        <v>439</v>
      </c>
      <c r="C9" t="s">
        <v>416</v>
      </c>
    </row>
    <row r="10" spans="1:3">
      <c r="A10" s="51" t="s">
        <v>459</v>
      </c>
      <c r="B10" s="51" t="s">
        <v>445</v>
      </c>
      <c r="C10" s="51" t="s">
        <v>419</v>
      </c>
    </row>
    <row r="11" spans="1:3">
      <c r="A11" t="s">
        <v>455</v>
      </c>
      <c r="B11" t="s">
        <v>441</v>
      </c>
      <c r="C11" t="s">
        <v>417</v>
      </c>
    </row>
    <row r="12" spans="1:3">
      <c r="A12" t="s">
        <v>778</v>
      </c>
      <c r="B12" t="s">
        <v>846</v>
      </c>
      <c r="C12" t="s">
        <v>764</v>
      </c>
    </row>
    <row r="13" spans="1:3">
      <c r="A13" t="s">
        <v>452</v>
      </c>
      <c r="B13" t="s">
        <v>437</v>
      </c>
      <c r="C13" t="s">
        <v>415</v>
      </c>
    </row>
    <row r="14" spans="1:3">
      <c r="A14" t="s">
        <v>976</v>
      </c>
      <c r="B14" t="s">
        <v>974</v>
      </c>
      <c r="C14" t="s">
        <v>975</v>
      </c>
    </row>
    <row r="15" spans="1:3">
      <c r="A15" t="s">
        <v>399</v>
      </c>
      <c r="B15" t="s">
        <v>408</v>
      </c>
      <c r="C15" t="s">
        <v>413</v>
      </c>
    </row>
    <row r="16" spans="1:3">
      <c r="A16" t="s">
        <v>780</v>
      </c>
      <c r="B16" t="s">
        <v>851</v>
      </c>
      <c r="C16" t="s">
        <v>765</v>
      </c>
    </row>
    <row r="18" spans="1:1">
      <c r="A18" s="51" t="s">
        <v>538</v>
      </c>
    </row>
    <row r="25" spans="1:1">
      <c r="A25" t="s">
        <v>769</v>
      </c>
    </row>
    <row r="26" spans="1:1">
      <c r="A26" t="s">
        <v>761</v>
      </c>
    </row>
    <row r="27" spans="1:1">
      <c r="A27" t="s">
        <v>495</v>
      </c>
    </row>
    <row r="29" spans="1:1">
      <c r="A29" t="s">
        <v>973</v>
      </c>
    </row>
    <row r="30" spans="1:1">
      <c r="A30" t="s">
        <v>972</v>
      </c>
    </row>
    <row r="31" spans="1:1">
      <c r="A31" t="s">
        <v>971</v>
      </c>
    </row>
    <row r="32" spans="1:1">
      <c r="A32" t="s">
        <v>970</v>
      </c>
    </row>
    <row r="49" spans="1:1">
      <c r="A49" t="s">
        <v>401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2B67C-6E29-4C09-A658-44AD825783B7}">
  <dimension ref="A1:G14"/>
  <sheetViews>
    <sheetView workbookViewId="0">
      <selection activeCell="T51" sqref="T51"/>
    </sheetView>
  </sheetViews>
  <sheetFormatPr defaultRowHeight="15"/>
  <cols>
    <col min="1" max="1" width="40" bestFit="1" customWidth="1"/>
    <col min="3" max="3" width="44.7109375" bestFit="1" customWidth="1"/>
    <col min="4" max="4" width="16.140625" bestFit="1" customWidth="1"/>
    <col min="5" max="5" width="14" bestFit="1" customWidth="1"/>
  </cols>
  <sheetData>
    <row r="1" spans="1:7">
      <c r="A1" s="59" t="s">
        <v>925</v>
      </c>
    </row>
    <row r="2" spans="1:7">
      <c r="A2" s="59" t="s">
        <v>926</v>
      </c>
    </row>
    <row r="3" spans="1:7">
      <c r="C3" t="s">
        <v>956</v>
      </c>
      <c r="D3" t="s">
        <v>954</v>
      </c>
      <c r="E3" t="s">
        <v>955</v>
      </c>
    </row>
    <row r="4" spans="1:7">
      <c r="C4" t="s">
        <v>957</v>
      </c>
    </row>
    <row r="5" spans="1:7">
      <c r="C5" t="s">
        <v>958</v>
      </c>
    </row>
    <row r="6" spans="1:7">
      <c r="C6" t="s">
        <v>959</v>
      </c>
    </row>
    <row r="7" spans="1:7">
      <c r="C7" t="s">
        <v>960</v>
      </c>
    </row>
    <row r="8" spans="1:7">
      <c r="C8" t="s">
        <v>961</v>
      </c>
    </row>
    <row r="12" spans="1:7">
      <c r="D12" t="s">
        <v>257</v>
      </c>
      <c r="E12" t="s">
        <v>962</v>
      </c>
      <c r="F12" t="s">
        <v>751</v>
      </c>
      <c r="G12" t="s">
        <v>969</v>
      </c>
    </row>
    <row r="13" spans="1:7">
      <c r="D13" t="s">
        <v>963</v>
      </c>
      <c r="E13" t="s">
        <v>964</v>
      </c>
    </row>
    <row r="14" spans="1:7">
      <c r="D14" t="s">
        <v>965</v>
      </c>
      <c r="E14" t="s">
        <v>966</v>
      </c>
      <c r="F14" t="s">
        <v>967</v>
      </c>
      <c r="G14" t="s">
        <v>968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3</vt:i4>
      </vt:variant>
    </vt:vector>
  </HeadingPairs>
  <TitlesOfParts>
    <vt:vector size="23" baseType="lpstr">
      <vt:lpstr>sidebar</vt:lpstr>
      <vt:lpstr>model</vt:lpstr>
      <vt:lpstr>model_field</vt:lpstr>
      <vt:lpstr>page</vt:lpstr>
      <vt:lpstr>page_element</vt:lpstr>
      <vt:lpstr>meta_form</vt:lpstr>
      <vt:lpstr>form</vt:lpstr>
      <vt:lpstr>form_field</vt:lpstr>
      <vt:lpstr>table</vt:lpstr>
      <vt:lpstr>table_field</vt:lpstr>
      <vt:lpstr>_slugs</vt:lpstr>
      <vt:lpstr>_globals</vt:lpstr>
      <vt:lpstr>_model_fields</vt:lpstr>
      <vt:lpstr>_form_fields</vt:lpstr>
      <vt:lpstr>_item_fields</vt:lpstr>
      <vt:lpstr>_naming_conventions</vt:lpstr>
      <vt:lpstr>_context_vars</vt:lpstr>
      <vt:lpstr>_Roadmap_</vt:lpstr>
      <vt:lpstr>_pages</vt:lpstr>
      <vt:lpstr>_task_today</vt:lpstr>
      <vt:lpstr>table!Extract</vt:lpstr>
      <vt:lpstr>form_template</vt:lpstr>
      <vt:lpstr>SLUG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Rollins</dc:creator>
  <cp:lastModifiedBy>Bill Rollins</cp:lastModifiedBy>
  <dcterms:created xsi:type="dcterms:W3CDTF">2022-08-31T14:09:30Z</dcterms:created>
  <dcterms:modified xsi:type="dcterms:W3CDTF">2022-10-04T01:25:02Z</dcterms:modified>
</cp:coreProperties>
</file>